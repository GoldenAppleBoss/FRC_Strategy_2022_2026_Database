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b7c01398e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List" sheetId="1" r:id="R3ee720555332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color rgb="FF195A9A"/>
      <x:name val="Arial"/>
    </x:font>
    <x:font>
      <x:sz val="10"/>
      <x:color rgb="FF52625B"/>
      <x:name val="Arial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C32"/>
      </x:patternFill>
    </x:fill>
    <x:fill>
      <x:patternFill patternType="solid">
        <x:fgColor rgb="FFFFF3D5"/>
      </x:patternFill>
    </x:fill>
    <x:fill>
      <x:patternFill patternType="solid">
        <x:fgColor rgb="FFE7F0EB"/>
      </x:patternFill>
    </x:fill>
    <x:fill>
      <x:patternFill patternType="solid">
        <x:fgColor rgb="FF24634F"/>
      </x:patternFill>
    </x:fill>
    <x:fill>
      <x:patternFill patternType="solid">
        <x:fgColor rgb="FFE9ECEB"/>
      </x:patternFill>
    </x:fill>
    <x:fill>
      <x:patternFill patternType="solid">
        <x:fgColor rgb="FF235C47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>
          <x:bgColor rgb="FFDDEFE1"/>
        </x:patternFill>
      </x:fill>
    </x:dxf>
    <x:dxf>
      <x:fill>
        <x:patternFill>
          <x:bgColor rgb="FFFFF0C8"/>
        </x:patternFill>
      </x:fill>
    </x:dxf>
    <x:dxf>
      <x:fill>
        <x:patternFill>
          <x:bgColor rgb="FFF2DEDE"/>
        </x:patternFill>
      </x:fill>
    </x:dxf>
    <x:dxf>
      <x:fill>
        <x:patternFill>
          <x:bgColor rgb="FFE1E9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2535230c4419c" /><Relationship Type="http://schemas.openxmlformats.org/officeDocument/2006/relationships/theme" Target="/xl/theme/theme1.xml" Id="R71b8fad985bf4c10" /><Relationship Type="http://schemas.openxmlformats.org/officeDocument/2006/relationships/sharedStrings" Target="/xl/sharedStrings.xml" Id="R7ad2d5742dc94ce3" /><Relationship Type="http://schemas.openxmlformats.org/officeDocument/2006/relationships/worksheet" Target="/xl/worksheets/sheet1.xml" Id="R3ee72055533247da" /></Relationships>
</file>

<file path=xl/tables/table1.xml><?xml version="1.0" encoding="utf-8"?>
<x:table xmlns:x="http://schemas.openxmlformats.org/spreadsheetml/2006/main" id="1" name="RobotTasks" displayName="RobotTasks" ref="A12:N92" headerRowCount="1" totalsRowCount="0" totalsRowShown="0">
  <x:tableColumns count="14">
    <x:tableColumn id="1" name="Category"/>
    <x:tableColumn id="2" name="Task / required outcome"/>
    <x:tableColumn id="3" name="Phase / applicability"/>
    <x:tableColumn id="4" name="Points / enabling value"/>
    <x:tableColumn id="5" name="Priority (1–3)"/>
    <x:tableColumn id="6" name="Difficulty"/>
    <x:tableColumn id="7" name="P×D aid"/>
    <x:tableColumn id="8" name="Agent recommendation"/>
    <x:tableColumn id="9" name="Why / tradeoff"/>
    <x:tableColumn id="10" name="Dependencies / partner role"/>
    <x:tableColumn id="11" name="Acceptance target / units"/>
    <x:tableColumn id="12" name="Rule + source locator"/>
    <x:tableColumn id="13" name="Unknowns / smallest test"/>
    <x:tableColumn id="14" name="1833 final decision / rationa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868bb64335470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30" hidden="0" customWidth="1"/>
    <x:col min="5" max="5" width="15" hidden="0" customWidth="1"/>
    <x:col min="6" max="6" width="32" hidden="0" customWidth="1"/>
    <x:col min="7" max="7" width="13" hidden="0" customWidth="1"/>
    <x:col min="8" max="8" width="23" hidden="0" customWidth="1"/>
    <x:col min="9" max="9" width="56" hidden="0" customWidth="1"/>
    <x:col min="10" max="10" width="45" hidden="0" customWidth="1"/>
    <x:col min="11" max="11" width="40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38" customHeight="1">
      <x:c r="A1" s="4" t="str">
        <x:v>1833 | Game analysis &amp; robot task priorities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60" customHeight="1">
      <x:c r="A2" s="2" t="str">
        <x:v>Season / game</x:v>
      </x:c>
      <x:c r="B2" s="2"/>
      <x:c r="C2" s="16" t="str">
        <x:v>2024 WCP DunkTank, historical game analyzed 2026-10-26. Game Update 01 supplied,19 pages.</x:v>
      </x:c>
      <x:c r="D2" s="16"/>
      <x:c r="E2" s="16"/>
      <x:c r="F2" s="16"/>
      <x:c r="G2" s="16"/>
      <x:c r="H2" s="16"/>
      <x:c r="I2" s="2"/>
      <x:c r="J2" s="2"/>
      <x:c r="K2" s="2"/>
      <x:c r="L2" s="2"/>
      <x:c r="M2" s="2"/>
      <x:c r="N2" s="2"/>
    </x:row>
    <x:row r="3" ht="60" customHeight="1">
      <x:c r="A3" s="2" t="str">
        <x:v>Manual revision + URL</x:v>
      </x:c>
      <x:c r="B3" s="2"/>
      <x:c r="C3" s="16" t="str">
        <x:v>Supplied Game Update01. Official clarifications posts 21,25,60,62,65,66,69,70,73,76 checked 2026-10-26. https://www.chiefdelphi.com/t/wcp-cadathon-2024-dunktank/472262 . Full latest-update audit unresolved.</x:v>
      </x:c>
      <x:c r="D3" s="16"/>
      <x:c r="E3" s="16"/>
      <x:c r="F3" s="16"/>
      <x:c r="G3" s="16"/>
      <x:c r="H3" s="16"/>
      <x:c r="I3" s="2"/>
      <x:c r="J3" s="2"/>
      <x:c r="K3" s="2"/>
      <x:c r="L3" s="2"/>
      <x:c r="M3" s="2"/>
      <x:c r="N3" s="2"/>
    </x:row>
    <x:row r="4" ht="60" customHeight="1">
      <x:c r="A4" s="2" t="str">
        <x:v>Event target / stage</x:v>
      </x:c>
      <x:c r="B4" s="2"/>
      <x:c r="C4" s="16" t="str">
        <x:v>New CAD exercise; current deadline/build scope unknown. Analyze qualification bonuses and playoff score margin.</x:v>
      </x:c>
      <x:c r="D4" s="16"/>
      <x:c r="E4" s="16"/>
      <x:c r="F4" s="16"/>
      <x:c r="G4" s="16"/>
      <x:c r="H4" s="16"/>
      <x:c r="I4" s="2"/>
      <x:c r="J4" s="2"/>
      <x:c r="K4" s="2"/>
      <x:c r="L4" s="2"/>
      <x:c r="M4" s="2"/>
      <x:c r="N4" s="2"/>
    </x:row>
    <x:row r="5" ht="60" customHeight="1">
      <x:c r="A5" s="2" t="str">
        <x:v>Partner / opponent assumptions</x:v>
      </x:c>
      <x:c r="B5" s="2"/>
      <x:c r="C5" s="16" t="str">
        <x:v>Provisional role: electrolyte specialist alongside two basketball-capable partners, at least one high dunker. Not a known alliance. Opponent can alsoforce clears.</x:v>
      </x:c>
      <x:c r="D5" s="16"/>
      <x:c r="E5" s="16"/>
      <x:c r="F5" s="16"/>
      <x:c r="G5" s="16"/>
      <x:c r="H5" s="16"/>
      <x:c r="I5" s="2"/>
      <x:c r="J5" s="2"/>
      <x:c r="K5" s="2"/>
      <x:c r="L5" s="2"/>
      <x:c r="M5" s="2"/>
      <x:c r="N5" s="2"/>
    </x:row>
    <x:row r="6" ht="60" customHeight="1">
      <x:c r="A6" s="2" t="str">
        <x:v>1833 resources / constraints</x:v>
      </x:c>
      <x:c r="B6" s="2"/>
      <x:c r="C6" s="16" t="str">
        <x:v>Current people/tools/budget/practice unknown. No existing DunkTank CAD/tests supplied. 2026 mechanisms are retrospective references, not available-at 2024 kickoff claims.</x:v>
      </x:c>
      <x:c r="D6" s="16"/>
      <x:c r="E6" s="16"/>
      <x:c r="F6" s="16"/>
      <x:c r="G6" s="16"/>
      <x:c r="H6" s="16"/>
      <x:c r="I6" s="2"/>
      <x:c r="J6" s="2"/>
      <x:c r="K6" s="2"/>
      <x:c r="L6" s="2"/>
      <x:c r="M6" s="2"/>
      <x:c r="N6" s="2"/>
    </x:row>
    <x:row r="7" ht="60" customHeight="1">
      <x:c r="A7" s="2" t="str">
        <x:v>Agent / date / human review</x:v>
      </x:c>
      <x:c r="B7" s="2"/>
      <x:c r="C7" s="16" t="str">
        <x:v>ChatGPT2026-10-26. Recommendations only, all human decisions pending. Exactly one Task List worksheet; no Hero Heist rules or cheat sheet used.</x:v>
      </x:c>
      <x:c r="D7" s="16"/>
      <x:c r="E7" s="16"/>
      <x:c r="F7" s="16"/>
      <x:c r="G7" s="16"/>
      <x:c r="H7" s="16"/>
      <x:c r="I7" s="2"/>
      <x:c r="J7" s="2"/>
      <x:c r="K7" s="2"/>
      <x:c r="L7" s="2"/>
      <x:c r="M7" s="2"/>
      <x:c r="N7" s="2"/>
    </x:row>
    <x:row r="8" ht="32" customHeight="1">
      <x:c r="A8" s="7" t="str">
        <x:v>Agent: fill this sheet for every new game or material rules revision. Start with tasks and outcomes; cite rules, state assumptions, and explain each priority.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 ht="32" customHeight="1">
      <x:c r="A9" s="8" t="str">
        <x:v>Priority: 1 = essential, 2 = valuable, 3 = optional. Difficulty: 1, 2, 3, 5, 8, 13, 21. P×D is a discussion aid, not an objective ranking or automatic decision.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2" t="str">
        <x:v>Tasks entered</x:v>
      </x:c>
      <x:c r="B10" s="2" t="n">
        <x:f>COUNTA(B13:B92)</x:f>
        <x:v>58</x:v>
      </x:c>
      <x:c r="C10" s="2"/>
      <x:c r="D10" s="2" t="str">
        <x:v>Must do</x:v>
      </x:c>
      <x:c r="E10" s="2" t="n">
        <x:f>COUNTIF(H13:H92,"Must do")</x:f>
        <x:v>43</x:v>
      </x:c>
      <x:c r="F10" s="2"/>
      <x:c r="G10" s="2" t="str">
        <x:v>Might do</x:v>
      </x:c>
      <x:c r="H10" s="2" t="n">
        <x:f>COUNTIF(H13:H92,"Might do")</x:f>
        <x:v>7</x:v>
      </x:c>
      <x:c r="I10" s="2"/>
      <x:c r="J10" s="2" t="str">
        <x:v>Won't do</x:v>
      </x:c>
      <x:c r="K10" s="2" t="n">
        <x:f>COUNTIF(H13:H92,"Won’t do")</x:f>
        <x:v>8</x:v>
      </x:c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45" customHeight="1">
      <x:c r="A12" s="11" t="str">
        <x:v>Category</x:v>
      </x:c>
      <x:c r="B12" s="11" t="str">
        <x:v>Task / required outcome</x:v>
      </x:c>
      <x:c r="C12" s="11" t="str">
        <x:v>Phase / applicability</x:v>
      </x:c>
      <x:c r="D12" s="11" t="str">
        <x:v>Points / enabling value</x:v>
      </x:c>
      <x:c r="E12" s="11" t="str">
        <x:v>Priority (1–3)</x:v>
      </x:c>
      <x:c r="F12" s="11" t="str">
        <x:v>Difficulty</x:v>
      </x:c>
      <x:c r="G12" s="11" t="str">
        <x:v>P×D aid</x:v>
      </x:c>
      <x:c r="H12" s="11" t="str">
        <x:v>Agent recommendation</x:v>
      </x:c>
      <x:c r="I12" s="11" t="str">
        <x:v>Why / tradeoff</x:v>
      </x:c>
      <x:c r="J12" s="11" t="str">
        <x:v>Dependencies / partner role</x:v>
      </x:c>
      <x:c r="K12" s="11" t="str">
        <x:v>Acceptance target / units</x:v>
      </x:c>
      <x:c r="L12" s="11" t="str">
        <x:v>Rule + source locator</x:v>
      </x:c>
      <x:c r="M12" s="11" t="str">
        <x:v>Unknowns / smallest test</x:v>
      </x:c>
      <x:c r="N12" s="11" t="str">
        <x:v>1833 final decision / rationale</x:v>
      </x:c>
    </x:row>
    <x:row r="13" ht="105" customHeight="1">
      <x:c r="A13" s="8" t="str">
        <x:v>Mobility</x:v>
      </x:c>
      <x:c r="B13" s="12" t="str">
        <x:v>Exit alliance zone in auto</x:v>
      </x:c>
      <x:c r="C13" s="12" t="str">
        <x:v>Auto</x:v>
      </x:c>
      <x:c r="D13" s="12" t="str">
        <x:v>6 points</x:v>
      </x:c>
      <x:c r="E13" s="12" t="n">
        <x:v>1</x:v>
      </x:c>
      <x:c r="F13" s="12" t="n">
        <x:v>3</x:v>
      </x:c>
      <x:c r="G13" s="13" t="n">
        <x:f>IF(OR(B13="",E13="",F13=""),"",E13*F13)</x:f>
        <x:v>3</x:v>
      </x:c>
      <x:c r="H13" s="12" t="str">
        <x:v>Must do</x:v>
      </x:c>
      <x:c r="I13" s="12" t="str">
        <x:v>Preserve a reliable six-point exit after electrolyte preload discharge. Priority 1 reflects the electrolyte specialist role; difficulty 3 is a provisional integration estimate.</x:v>
      </x:c>
      <x:c r="J13" s="12" t="str">
        <x:v>Requires driver/human-player coordination, measured route access and compatible partner timing.</x:v>
      </x:c>
      <x:c r="K13" s="12" t="str">
        <x:v>Proposed, not tested: 20/20 exits within 15 s including discharge.</x:v>
      </x:c>
      <x:c r="L13" s="12" t="str">
        <x:v>DunkTank supplied Game Update 01, pp2-3,G01 p15</x:v>
      </x:c>
      <x:c r="M13" s="12" t="str">
        <x:v>Unknown exact CAD/operating performance. Smallest test: 20/20 exits within 15 s including discharge.</x:v>
      </x:c>
      <x:c r="N13" s="12" t="str">
        <x:v>Pending human review</x:v>
      </x:c>
    </x:row>
    <x:row r="14" ht="105" customHeight="1">
      <x:c r="A14" s="8" t="str">
        <x:v>Mobility</x:v>
      </x:c>
      <x:c r="B14" s="12" t="str">
        <x:v>Traverse tank-to-supply routes</x:v>
      </x:c>
      <x:c r="C14" s="12" t="str">
        <x:v>Teleop</x:v>
      </x:c>
      <x:c r="D14" s="12" t="str">
        <x:v>Enables clears</x:v>
      </x:c>
      <x:c r="E14" s="12" t="n">
        <x:v>1</x:v>
      </x:c>
      <x:c r="F14" s="12" t="n">
        <x:v>5</x:v>
      </x:c>
      <x:c r="G14" s="13" t="n">
        <x:f>IF(OR(B14="",E14="",F14=""),"",E14*F14)</x:f>
        <x:v>5</x:v>
      </x:c>
      <x:c r="H14" s="12" t="str">
        <x:v>Must do</x:v>
      </x:c>
      <x:c r="I14" s="12" t="str">
        <x:v>Allied tank is remote from own loading box; pickup location determines cycle cost. Priority 1 reflects the electrolyte specialist role; difficulty 5 is a provisional integration estimate.</x:v>
      </x:c>
      <x:c r="J14" s="12" t="str">
        <x:v>Requires driver/human-player coordination, measured route access and compatible partner timing.</x:v>
      </x:c>
      <x:c r="K14" s="12" t="str">
        <x:v>Proposed, not tested: Measure ten full loaded routes; target unresolved pending CAD.</x:v>
      </x:c>
      <x:c r="L14" s="12" t="str">
        <x:v>DunkTank supplied Game Update 01, pp5-6,14</x:v>
      </x:c>
      <x:c r="M14" s="12" t="str">
        <x:v>Unknown exact CAD/operating performance. Smallest test: Measure ten full loaded routes; target unresolved pending CAD.</x:v>
      </x:c>
      <x:c r="N14" s="12" t="str">
        <x:v>Pending human review</x:v>
      </x:c>
    </x:row>
    <x:row r="15" ht="105" customHeight="1">
      <x:c r="A15" s="8" t="str">
        <x:v>Mobility</x:v>
      </x:c>
      <x:c r="B15" s="12" t="str">
        <x:v>Approach either alliance tank</x:v>
      </x:c>
      <x:c r="C15" s="12" t="str">
        <x:v>Teleop</x:v>
      </x:c>
      <x:c r="D15" s="12" t="str">
        <x:v>Offense and forced clear</x:v>
      </x:c>
      <x:c r="E15" s="12" t="n">
        <x:v>1</x:v>
      </x:c>
      <x:c r="F15" s="12" t="n">
        <x:v>5</x:v>
      </x:c>
      <x:c r="G15" s="13" t="n">
        <x:f>IF(OR(B15="",E15="",F15=""),"",E15*F15)</x:f>
        <x:v>5</x:v>
      </x:c>
      <x:c r="H15" s="12" t="str">
        <x:v>Must do</x:v>
      </x:c>
      <x:c r="I15" s="12" t="str">
        <x:v>Opponent tank scoring is allowed; access and protected contact still matter. Priority 1 reflects the electrolyte specialist role; difficulty 5 is a provisional integration estimate.</x:v>
      </x:c>
      <x:c r="J15" s="12" t="str">
        <x:v>Requires driver/human-player coordination, measured route access and compatible partner timing.</x:v>
      </x:c>
      <x:c r="K15" s="12" t="str">
        <x:v>Proposed, not tested: 20 approaches without protected contact or blocked tank access.</x:v>
      </x:c>
      <x:c r="L15" s="12" t="str">
        <x:v>DunkTank supplied Game Update 01, G12 p16,G14 p17; organizer post73</x:v>
      </x:c>
      <x:c r="M15" s="12" t="str">
        <x:v>Unknown exact CAD/operating performance. Smallest test: 20 approaches without protected contact or blocked tank access.</x:v>
      </x:c>
      <x:c r="N15" s="12" t="str">
        <x:v>Pending human review</x:v>
      </x:c>
    </x:row>
    <x:row r="16" ht="105" customHeight="1">
      <x:c r="A16" s="8" t="str">
        <x:v>Mobility</x:v>
      </x:c>
      <x:c r="B16" s="12" t="str">
        <x:v>Stay below 42 in outside dunk zone</x:v>
      </x:c>
      <x:c r="C16" s="12" t="str">
        <x:v>All</x:v>
      </x:c>
      <x:c r="D16" s="12" t="str">
        <x:v>Avoid 10-point foul</x:v>
      </x:c>
      <x:c r="E16" s="12" t="n">
        <x:v>1</x:v>
      </x:c>
      <x:c r="F16" s="12" t="n">
        <x:v>3</x:v>
      </x:c>
      <x:c r="G16" s="13" t="n">
        <x:f>IF(OR(B16="",E16="",F16=""),"",E16*F16)</x:f>
        <x:v>3</x:v>
      </x:c>
      <x:c r="H16" s="12" t="str">
        <x:v>Must do</x:v>
      </x:c>
      <x:c r="I16" s="12" t="str">
        <x:v>Tank zone is not dunk zone; an electrolyte dump must stay low throughout motion. Priority 1 reflects the electrolyte specialist role; difficulty 3 is a provisional integration estimate.</x:v>
      </x:c>
      <x:c r="J16" s="12" t="str">
        <x:v>Requires driver/human-player coordination, measured route access and compatible partner timing.</x:v>
      </x:c>
      <x:c r="K16" s="12" t="str">
        <x:v>Proposed, not tested: All loaded deployment states &lt;=42 in.</x:v>
      </x:c>
      <x:c r="L16" s="12" t="str">
        <x:v>DunkTank supplied Game Update 01, G20 p17</x:v>
      </x:c>
      <x:c r="M16" s="12" t="str">
        <x:v>Unknown exact CAD/operating performance. Smallest test: All loaded deployment states &lt;=42 in.</x:v>
      </x:c>
      <x:c r="N16" s="12" t="str">
        <x:v>Pending human review</x:v>
      </x:c>
    </x:row>
    <x:row r="17" ht="105" customHeight="1">
      <x:c r="A17" s="8" t="str">
        <x:v>Mobility</x:v>
      </x:c>
      <x:c r="B17" s="12" t="str">
        <x:v>Loaded stability and braking</x:v>
      </x:c>
      <x:c r="C17" s="12" t="str">
        <x:v>All</x:v>
      </x:c>
      <x:c r="D17" s="12" t="str">
        <x:v>Retain inventory</x:v>
      </x:c>
      <x:c r="E17" s="12" t="n">
        <x:v>1</x:v>
      </x:c>
      <x:c r="F17" s="12" t="n">
        <x:v>5</x:v>
      </x:c>
      <x:c r="G17" s="13" t="n">
        <x:f>IF(OR(B17="",E17="",F17=""),"",E17*F17)</x:f>
        <x:v>5</x:v>
      </x:c>
      <x:c r="H17" s="12" t="str">
        <x:v>Must do</x:v>
      </x:c>
      <x:c r="I17" s="12" t="str">
        <x:v>A hundred loose balls move the CG and can surge into the outlet during braking. Priority 1 reflects the electrolyte specialist role; difficulty 5 is a provisional integration estimate.</x:v>
      </x:c>
      <x:c r="J17" s="12" t="str">
        <x:v>Requires driver/human-player coordination, measured route access and compatible partner timing.</x:v>
      </x:c>
      <x:c r="K17" s="12" t="str">
        <x:v>Proposed, not tested: No spill/wheel lift over 20 loaded stops; speed unresolved.</x:v>
      </x:c>
      <x:c r="L17" s="12" t="str">
        <x:v>DunkTank supplied Game Update 01, G09 p16; engineering inference</x:v>
      </x:c>
      <x:c r="M17" s="12" t="str">
        <x:v>Unknown exact CAD/operating performance. Smallest test: No spill/wheel lift over 20 loaded stops; speed unresolved.</x:v>
      </x:c>
      <x:c r="N17" s="12" t="str">
        <x:v>Pending human review</x:v>
      </x:c>
    </x:row>
    <x:row r="18" ht="105" customHeight="1">
      <x:c r="A18" s="8" t="str">
        <x:v>Mobility</x:v>
      </x:c>
      <x:c r="B18" s="12" t="str">
        <x:v>Alternate route after traffic</x:v>
      </x:c>
      <x:c r="C18" s="12" t="str">
        <x:v>Teleop</x:v>
      </x:c>
      <x:c r="D18" s="12" t="str">
        <x:v>Cycle continuity</x:v>
      </x:c>
      <x:c r="E18" s="12" t="n">
        <x:v>2</x:v>
      </x:c>
      <x:c r="F18" s="12" t="n">
        <x:v>5</x:v>
      </x:c>
      <x:c r="G18" s="13" t="n">
        <x:f>IF(OR(B18="",E18="",F18=""),"",E18*F18)</x:f>
        <x:v>10</x:v>
      </x:c>
      <x:c r="H18" s="12" t="str">
        <x:v>Might do</x:v>
      </x:c>
      <x:c r="I18" s="12" t="str">
        <x:v>Route flexibility helps only if the alternate route preserves discharge timing. Priority 2 reflects the electrolyte specialist role; difficulty 5 is a provisional integration estimate.</x:v>
      </x:c>
      <x:c r="J18" s="12" t="str">
        <x:v>Requires driver/human-player coordination, measured route access and compatible partner timing.</x:v>
      </x:c>
      <x:c r="K18" s="12" t="str">
        <x:v>Proposed, not tested: Timed alternative paths with one lane occupied.</x:v>
      </x:c>
      <x:c r="L18" s="12" t="str">
        <x:v>DunkTank supplied Game Update 01, G12/G14 pp16-17</x:v>
      </x:c>
      <x:c r="M18" s="12" t="str">
        <x:v>Unknown exact CAD/operating performance. Smallest test: Timed alternative paths with one lane occupied.</x:v>
      </x:c>
      <x:c r="N18" s="12" t="str">
        <x:v>Pending human review</x:v>
      </x:c>
    </x:row>
    <x:row r="19" ht="105" customHeight="1">
      <x:c r="A19" s="8" t="str">
        <x:v>Collection</x:v>
      </x:c>
      <x:c r="B19" s="12" t="str">
        <x:v>Ground-collect dispersed electrolytes</x:v>
      </x:c>
      <x:c r="C19" s="12" t="str">
        <x:v>All</x:v>
      </x:c>
      <x:c r="D19" s="12" t="str">
        <x:v>Reusable 5-in balls</x:v>
      </x:c>
      <x:c r="E19" s="12" t="n">
        <x:v>1</x:v>
      </x:c>
      <x:c r="F19" s="12" t="n">
        <x:v>5</x:v>
      </x:c>
      <x:c r="G19" s="13" t="n">
        <x:f>IF(OR(B19="",E19="",F19=""),"",E19*F19)</x:f>
        <x:v>5</x:v>
      </x:c>
      <x:c r="H19" s="12" t="str">
        <x:v>Must do</x:v>
      </x:c>
      <x:c r="I19" s="12" t="str">
        <x:v>All electrolytes must enter before 60 s remain, so late station-only supply is impossible. Priority 1 reflects the electrolyte specialist role; difficulty 5 is a provisional integration estimate.</x:v>
      </x:c>
      <x:c r="J19" s="12" t="str">
        <x:v>Requires driver/human-player coordination, measured route access and compatible partner timing.</x:v>
      </x:c>
      <x:c r="K19" s="12" t="str">
        <x:v>Proposed, not tested: 90/100 captures at declared speed and wear state.</x:v>
      </x:c>
      <x:c r="L19" s="12" t="str">
        <x:v>DunkTank supplied Game Update 01, pp8,13; G16 p17</x:v>
      </x:c>
      <x:c r="M19" s="12" t="str">
        <x:v>Unknown exact CAD/operating performance. Smallest test: 90/100 captures at declared speed and wear state.</x:v>
      </x:c>
      <x:c r="N19" s="12" t="str">
        <x:v>Pending human review</x:v>
      </x:c>
    </x:row>
    <x:row r="20" ht="105" customHeight="1">
      <x:c r="A20" s="8" t="str">
        <x:v>Collection</x:v>
      </x:c>
      <x:c r="B20" s="12" t="str">
        <x:v>Receive electrolyte bucket pour</x:v>
      </x:c>
      <x:c r="C20" s="12" t="str">
        <x:v>Early teleop</x:v>
      </x:c>
      <x:c r="D20" s="12" t="str">
        <x:v>50 balls/bucket</x:v>
      </x:c>
      <x:c r="E20" s="12" t="n">
        <x:v>1</x:v>
      </x:c>
      <x:c r="F20" s="12" t="n">
        <x:v>3</x:v>
      </x:c>
      <x:c r="G20" s="13" t="n">
        <x:f>IF(OR(B20="",E20="",F20=""),"",E20*F20)</x:f>
        <x:v>3</x:v>
      </x:c>
      <x:c r="H20" s="12" t="str">
        <x:v>Must do</x:v>
      </x:c>
      <x:c r="I20" s="12" t="str">
        <x:v>Use the 48-in station lip with a robot funnel below 42 in; keep humans/bucket outside field. Priority 1 reflects the electrolyte specialist role; difficulty 3 is a provisional integration estimate.</x:v>
      </x:c>
      <x:c r="J20" s="12" t="str">
        <x:v>Requires driver/human-player coordination, measured route access and compatible partner timing.</x:v>
      </x:c>
      <x:c r="K20" s="12" t="str">
        <x:v>Proposed, not tested: 20 pours with &gt;=49/50 retained; no illegal intrusion.</x:v>
      </x:c>
      <x:c r="L20" s="12" t="str">
        <x:v>DunkTank supplied Game Update 01, pp13-14,G13/G16</x:v>
      </x:c>
      <x:c r="M20" s="12" t="str">
        <x:v>Unknown exact CAD/operating performance. Smallest test: 20 pours with &gt;=49/50 retained; no illegal intrusion.</x:v>
      </x:c>
      <x:c r="N20" s="12" t="str">
        <x:v>Pending human review</x:v>
      </x:c>
    </x:row>
    <x:row r="21" ht="105" customHeight="1">
      <x:c r="A21" s="8" t="str">
        <x:v>Collection</x:v>
      </x:c>
      <x:c r="B21" s="12" t="str">
        <x:v>Load 50 electrolyte preload</x:v>
      </x:c>
      <x:c r="C21" s="12" t="str">
        <x:v>Auto</x:v>
      </x:c>
      <x:c r="D21" s="12" t="str">
        <x:v>25 direct points</x:v>
      </x:c>
      <x:c r="E21" s="12" t="n">
        <x:v>1</x:v>
      </x:c>
      <x:c r="F21" s="12" t="n">
        <x:v>3</x:v>
      </x:c>
      <x:c r="G21" s="13" t="n">
        <x:f>IF(OR(B21="",E21="",F21=""),"",E21*F21)</x:f>
        <x:v>3</x:v>
      </x:c>
      <x:c r="H21" s="12" t="str">
        <x:v>Must do</x:v>
      </x:c>
      <x:c r="I21" s="12" t="str">
        <x:v>One allowed bucket gives more direct preload points than one high basketball before exit. Priority 1 reflects the electrolyte specialist role; difficulty 3 is a provisional integration estimate.</x:v>
      </x:c>
      <x:c r="J21" s="12" t="str">
        <x:v>Requires driver/human-player coordination, measured route access and compatible partner timing.</x:v>
      </x:c>
      <x:c r="K21" s="12" t="str">
        <x:v>Proposed, not tested: 50 retained and delivered within auto in 18/20 attempts.</x:v>
      </x:c>
      <x:c r="L21" s="12" t="str">
        <x:v>DunkTank supplied Game Update 01, pp3,8</x:v>
      </x:c>
      <x:c r="M21" s="12" t="str">
        <x:v>Unknown exact CAD/operating performance. Smallest test: 50 retained and delivered within auto in 18/20 attempts.</x:v>
      </x:c>
      <x:c r="N21" s="12" t="str">
        <x:v>Pending human review</x:v>
      </x:c>
    </x:row>
    <x:row r="22" ht="105" customHeight="1">
      <x:c r="A22" s="8" t="str">
        <x:v>Collection</x:v>
      </x:c>
      <x:c r="B22" s="12" t="str">
        <x:v>Reject basketballs at intake</x:v>
      </x:c>
      <x:c r="C22" s="12" t="str">
        <x:v>All</x:v>
      </x:c>
      <x:c r="D22" s="12" t="str">
        <x:v>Avoid accidental multiple-ball possession</x:v>
      </x:c>
      <x:c r="E22" s="12" t="n">
        <x:v>1</x:v>
      </x:c>
      <x:c r="F22" s="12" t="n">
        <x:v>5</x:v>
      </x:c>
      <x:c r="G22" s="13" t="n">
        <x:f>IF(OR(B22="",E22="",F22=""),"",E22*F22)</x:f>
        <x:v>5</x:v>
      </x:c>
      <x:c r="H22" s="12" t="str">
        <x:v>Must do</x:v>
      </x:c>
      <x:c r="I22" s="12" t="str">
        <x:v>A9.39-in basketball can obstruct a 5-in electrolyte mouth; a mere software count is insufficient. Priority 1 reflects the electrolyte specialist role; difficulty 5 is a provisional integration estimate.</x:v>
      </x:c>
      <x:c r="J22" s="12" t="str">
        <x:v>Requires driver/human-player coordination, measured route access and compatible partner timing.</x:v>
      </x:c>
      <x:c r="K22" s="12" t="str">
        <x:v>Proposed, not tested: 20 mixed-piece encounters without basketball capture or electrolyte jam.</x:v>
      </x:c>
      <x:c r="L22" s="12" t="str">
        <x:v>DunkTank supplied Game Update 01, p7,G15 p17</x:v>
      </x:c>
      <x:c r="M22" s="12" t="str">
        <x:v>Unknown exact CAD/operating performance. Smallest test: 20 mixed-piece encounters without basketball capture or electrolyte jam.</x:v>
      </x:c>
      <x:c r="N22" s="12" t="str">
        <x:v>Pending human review</x:v>
      </x:c>
    </x:row>
    <x:row r="23" ht="105" customHeight="1">
      <x:c r="A23" s="8" t="str">
        <x:v>Collection</x:v>
      </x:c>
      <x:c r="B23" s="12" t="str">
        <x:v>Recover tank-ejected electrolytes</x:v>
      </x:c>
      <x:c r="C23" s="12" t="str">
        <x:v>Teleop after clear</x:v>
      </x:c>
      <x:c r="D23" s="12" t="str">
        <x:v>Reuses existing supply</x:v>
      </x:c>
      <x:c r="E23" s="12" t="n">
        <x:v>1</x:v>
      </x:c>
      <x:c r="F23" s="12" t="n">
        <x:v>5</x:v>
      </x:c>
      <x:c r="G23" s="13" t="n">
        <x:f>IF(OR(B23="",E23="",F23=""),"",E23*F23)</x:f>
        <x:v>5</x:v>
      </x:c>
      <x:c r="H23" s="12" t="str">
        <x:v>Must do</x:v>
      </x:c>
      <x:c r="I23" s="12" t="str">
        <x:v>Tank empties at approximately 10 balls/s, not instantaneous; do not block chute. Priority 1 reflects the electrolyte specialist role; difficulty 5 is a provisional integration estimate.</x:v>
      </x:c>
      <x:c r="J23" s="12" t="str">
        <x:v>Requires driver/human-player coordination, measured route access and compatible partner timing.</x:v>
      </x:c>
      <x:c r="K23" s="12" t="str">
        <x:v>Proposed, not tested: Collect one returned 100 batch with measured delay and loss.</x:v>
      </x:c>
      <x:c r="L23" s="12" t="str">
        <x:v>DunkTank supplied Game Update 01, pp11-12; organizer post66</x:v>
      </x:c>
      <x:c r="M23" s="12" t="str">
        <x:v>Unknown exact CAD/operating performance. Smallest test: Collect one returned 100 batch with measured delay and loss.</x:v>
      </x:c>
      <x:c r="N23" s="12" t="str">
        <x:v>Pending human review</x:v>
      </x:c>
    </x:row>
    <x:row r="24" ht="105" customHeight="1">
      <x:c r="A24" s="8" t="str">
        <x:v>Collection</x:v>
      </x:c>
      <x:c r="B24" s="12" t="str">
        <x:v>Harvest neutral/opponent-side supply</x:v>
      </x:c>
      <x:c r="C24" s="12" t="str">
        <x:v>Teleop</x:v>
      </x:c>
      <x:c r="D24" s="12" t="str">
        <x:v>Resource access</x:v>
      </x:c>
      <x:c r="E24" s="12" t="n">
        <x:v>2</x:v>
      </x:c>
      <x:c r="F24" s="12" t="n">
        <x:v>5</x:v>
      </x:c>
      <x:c r="G24" s="13" t="n">
        <x:f>IF(OR(B24="",E24="",F24=""),"",E24*F24)</x:f>
        <x:v>10</x:v>
      </x:c>
      <x:c r="H24" s="12" t="str">
        <x:v>Might do</x:v>
      </x:c>
      <x:c r="I24" s="12" t="str">
        <x:v>Shared balls can reduce travel but incursions must preserve traffic and protected access. Priority 2 reflects the electrolyte specialist role; difficulty 5 is a provisional integration estimate.</x:v>
      </x:c>
      <x:c r="J24" s="12" t="str">
        <x:v>Requires driver/human-player coordination, measured route access and compatible partner timing.</x:v>
      </x:c>
      <x:c r="K24" s="12" t="str">
        <x:v>Proposed, not tested: Measure useful recovered balls per 10 s and compare own-side route.</x:v>
      </x:c>
      <x:c r="L24" s="12" t="str">
        <x:v>DunkTank supplied Game Update 01, pp5-6,G12/G14</x:v>
      </x:c>
      <x:c r="M24" s="12" t="str">
        <x:v>Unknown exact CAD/operating performance. Smallest test: Measure useful recovered balls per 10 s and compare own-side route.</x:v>
      </x:c>
      <x:c r="N24" s="12" t="str">
        <x:v>Pending human review</x:v>
      </x:c>
    </x:row>
    <x:row r="25" ht="105" customHeight="1">
      <x:c r="A25" s="8" t="str">
        <x:v>Storage / transfer</x:v>
      </x:c>
      <x:c r="B25" s="12" t="str">
        <x:v>Store 100 deliverable electrolytes</x:v>
      </x:c>
      <x:c r="C25" s="12" t="str">
        <x:v>Teleop</x:v>
      </x:c>
      <x:c r="D25" s="12" t="str">
        <x:v>One complete clear from empty</x:v>
      </x:c>
      <x:c r="E25" s="12" t="n">
        <x:v>1</x:v>
      </x:c>
      <x:c r="F25" s="12" t="n">
        <x:v>8</x:v>
      </x:c>
      <x:c r="G25" s="13" t="n">
        <x:f>IF(OR(B25="",E25="",F25=""),"",E25*F25)</x:f>
        <x:v>8</x:v>
      </x:c>
      <x:c r="H25" s="12" t="str">
        <x:v>Must do</x:v>
      </x:c>
      <x:c r="I25" s="12" t="str">
        <x:v>Photographed capacity is insufficient: all 100 must reach target without manual assistance. Priority 1 reflects the electrolyte specialist role; difficulty 8 is a provisional integration estimate.</x:v>
      </x:c>
      <x:c r="J25" s="12" t="str">
        <x:v>Requires driver/human-player coordination, measured route access and compatible partner timing.</x:v>
      </x:c>
      <x:c r="K25" s="12" t="str">
        <x:v>Proposed, not tested: 20 loads with &gt;=100 delivered each; physical count after emptying.</x:v>
      </x:c>
      <x:c r="L25" s="12" t="str">
        <x:v>DunkTank supplied Game Update 01, G15 p17; p12</x:v>
      </x:c>
      <x:c r="M25" s="12" t="str">
        <x:v>Unknown exact CAD/operating performance. Smallest test: 20 loads with &gt;=100 delivered each; physical count after emptying.</x:v>
      </x:c>
      <x:c r="N25" s="12" t="str">
        <x:v>Pending human review</x:v>
      </x:c>
    </x:row>
    <x:row r="26" ht="105" customHeight="1">
      <x:c r="A26" s="8" t="str">
        <x:v>Storage / transfer</x:v>
      </x:c>
      <x:c r="B26" s="12" t="str">
        <x:v>Retain 50 in legal starting footprint</x:v>
      </x:c>
      <x:c r="C26" s="12" t="str">
        <x:v>Auto</x:v>
      </x:c>
      <x:c r="D26" s="12" t="str">
        <x:v>Enables 25-point preload</x:v>
      </x:c>
      <x:c r="E26" s="12" t="n">
        <x:v>1</x:v>
      </x:c>
      <x:c r="F26" s="12" t="n">
        <x:v>5</x:v>
      </x:c>
      <x:c r="G26" s="13" t="n">
        <x:f>IF(OR(B26="",E26="",F26=""),"",E26*F26)</x:f>
        <x:v>5</x:v>
      </x:c>
      <x:c r="H26" s="12" t="str">
        <x:v>Must do</x:v>
      </x:c>
      <x:c r="I26" s="12" t="str">
        <x:v>Expanded capacity cannot depend on starting outside frame or above 42 in. Priority 1 reflects the electrolyte specialist role; difficulty 5 is a provisional integration estimate.</x:v>
      </x:c>
      <x:c r="J26" s="12" t="str">
        <x:v>Requires driver/human-player coordination, measured route access and compatible partner timing.</x:v>
      </x:c>
      <x:c r="K26" s="12" t="str">
        <x:v>Proposed, not tested: 50-piece physical mockup inside 120-in perimeter and 42-in height.</x:v>
      </x:c>
      <x:c r="L26" s="12" t="str">
        <x:v>DunkTank supplied Game Update 01, R01-R02 p18</x:v>
      </x:c>
      <x:c r="M26" s="12" t="str">
        <x:v>Unknown exact CAD/operating performance. Smallest test: 50-piece physical mockup inside 120-in perimeter and 42-in height.</x:v>
      </x:c>
      <x:c r="N26" s="12" t="str">
        <x:v>Pending human review</x:v>
      </x:c>
    </x:row>
    <x:row r="27" ht="105" customHeight="1">
      <x:c r="A27" s="8" t="str">
        <x:v>Storage / transfer</x:v>
      </x:c>
      <x:c r="B27" s="12" t="str">
        <x:v>Expand hopper horizontally</x:v>
      </x:c>
      <x:c r="C27" s="12" t="str">
        <x:v>Teleop</x:v>
      </x:c>
      <x:c r="D27" s="12" t="str">
        <x:v>Adds usable volume</x:v>
      </x:c>
      <x:c r="E27" s="12" t="n">
        <x:v>2</x:v>
      </x:c>
      <x:c r="F27" s="12" t="n">
        <x:v>8</x:v>
      </x:c>
      <x:c r="G27" s="13" t="n">
        <x:f>IF(OR(B27="",E27="",F27=""),"",E27*F27)</x:f>
        <x:v>16</x:v>
      </x:c>
      <x:c r="H27" s="12" t="str">
        <x:v>Might do</x:v>
      </x:c>
      <x:c r="I27" s="12" t="str">
        <x:v>Use travel clearance only if loaded deployment and recovery work; height cannot increase near tank. Priority 2 reflects the electrolyte specialist role; difficulty 8 is a provisional integration estimate.</x:v>
      </x:c>
      <x:c r="J27" s="12" t="str">
        <x:v>Requires driver/human-player coordination, measured route access and compatible partner timing.</x:v>
      </x:c>
      <x:c r="K27" s="12" t="str">
        <x:v>Proposed, not tested: &lt;=18-in extension, &lt;=42-in height throughout loaded sweep.</x:v>
      </x:c>
      <x:c r="L27" s="12" t="str">
        <x:v>DunkTank supplied Game Update 01, G08/G20;604-expansion-2026-5</x:v>
      </x:c>
      <x:c r="M27" s="12" t="str">
        <x:v>Unknown exact CAD/operating performance. Smallest test: &lt;=18-in extension, &lt;=42-in height throughout loaded sweep.</x:v>
      </x:c>
      <x:c r="N27" s="12" t="str">
        <x:v>Pending human review</x:v>
      </x:c>
    </x:row>
    <x:row r="28" ht="105" customHeight="1">
      <x:c r="A28" s="8" t="str">
        <x:v>Storage / transfer</x:v>
      </x:c>
      <x:c r="B28" s="12" t="str">
        <x:v>Convey bulk balls to elevated outlet</x:v>
      </x:c>
      <x:c r="C28" s="12" t="str">
        <x:v>All tank delivery</x:v>
      </x:c>
      <x:c r="D28" s="12" t="str">
        <x:v>Cross 24-in tank lip</x:v>
      </x:c>
      <x:c r="E28" s="12" t="n">
        <x:v>1</x:v>
      </x:c>
      <x:c r="F28" s="12" t="n">
        <x:v>8</x:v>
      </x:c>
      <x:c r="G28" s="13" t="n">
        <x:f>IF(OR(B28="",E28="",F28=""),"",E28*F28)</x:f>
        <x:v>8</x:v>
      </x:c>
      <x:c r="H28" s="12" t="str">
        <x:v>Must do</x:v>
      </x:c>
      <x:c r="I28" s="12" t="str">
        <x:v>A low floor cannot gravity-drain uphill; use a powered broad inclined conveyor with supported contacts. Priority 1 reflects the electrolyte specialist role; difficulty 8 is a provisional integration estimate.</x:v>
      </x:c>
      <x:c r="J28" s="12" t="str">
        <x:v>Requires driver/human-player coordination, measured route access and compatible partner timing.</x:v>
      </x:c>
      <x:c r="K28" s="12" t="str">
        <x:v>Proposed, not tested: 100-piece emptying &lt;=10 s, &lt;=2 residual balls; then improve residual tozero.</x:v>
      </x:c>
      <x:c r="L28" s="12" t="str">
        <x:v>DunkTank supplied Game Update 01, p11; engineering proposal</x:v>
      </x:c>
      <x:c r="M28" s="12" t="str">
        <x:v>Unknown exact CAD/operating performance. Smallest test: 100-piece emptying &lt;=10 s, &lt;=2 residual balls; then improve residual tozero.</x:v>
      </x:c>
      <x:c r="N28" s="12" t="str">
        <x:v>Pending human review</x:v>
      </x:c>
    </x:row>
    <x:row r="29" ht="105" customHeight="1">
      <x:c r="A29" s="8" t="str">
        <x:v>Storage / transfer</x:v>
      </x:c>
      <x:c r="B29" s="12" t="str">
        <x:v>Meter discharge and stop near threshold</x:v>
      </x:c>
      <x:c r="C29" s="12" t="str">
        <x:v>Teleop</x:v>
      </x:c>
      <x:c r="D29" s="12" t="str">
        <x:v>Avoid mistimed automatic clear</x:v>
      </x:c>
      <x:c r="E29" s="12" t="n">
        <x:v>1</x:v>
      </x:c>
      <x:c r="F29" s="12" t="n">
        <x:v>5</x:v>
      </x:c>
      <x:c r="G29" s="13" t="n">
        <x:f>IF(OR(B29="",E29="",F29=""),"",E29*F29)</x:f>
        <x:v>5</x:v>
      </x:c>
      <x:c r="H29" s="12" t="str">
        <x:v>Must do</x:v>
      </x:c>
      <x:c r="I29" s="12" t="str">
        <x:v>The 100 th scored ball triggers clear even with empty hoop stacks; uncontrolled dumping can destroy own final fill. Priority 1 reflects the electrolyte specialist role; difficulty 5 is a provisional integration estimate.</x:v>
      </x:c>
      <x:c r="J29" s="12" t="str">
        <x:v>Requires driver/human-player coordination, measured route access and compatible partner timing.</x:v>
      </x:c>
      <x:c r="K29" s="12" t="str">
        <x:v>Proposed, not tested: 20 stop/restart tests; overshoot characterized in balls and milliseconds.</x:v>
      </x:c>
      <x:c r="L29" s="12" t="str">
        <x:v>DunkTank supplied Game Update 01, p12; organizer post70</x:v>
      </x:c>
      <x:c r="M29" s="12" t="str">
        <x:v>Unknown exact CAD/operating performance. Smallest test: 20 stop/restart tests; overshoot characterized in balls and milliseconds.</x:v>
      </x:c>
      <x:c r="N29" s="12" t="str">
        <x:v>Pending human review</x:v>
      </x:c>
    </x:row>
    <x:row r="30" ht="105" customHeight="1">
      <x:c r="A30" s="8" t="str">
        <x:v>Storage / transfer</x:v>
      </x:c>
      <x:c r="B30" s="12" t="str">
        <x:v>Clear bridges and last-ball jams</x:v>
      </x:c>
      <x:c r="C30" s="12" t="str">
        <x:v>All</x:v>
      </x:c>
      <x:c r="D30" s="12" t="str">
        <x:v>Preserve deliverable inventory</x:v>
      </x:c>
      <x:c r="E30" s="12" t="n">
        <x:v>1</x:v>
      </x:c>
      <x:c r="F30" s="12" t="n">
        <x:v>5</x:v>
      </x:c>
      <x:c r="G30" s="13" t="n">
        <x:f>IF(OR(B30="",E30="",F30=""),"",E30*F30)</x:f>
        <x:v>5</x:v>
      </x:c>
      <x:c r="H30" s="12" t="str">
        <x:v>Must do</x:v>
      </x:c>
      <x:c r="I30" s="12" t="str">
        <x:v>Full hopper flow and nearly empty flow have different failure modes. Priority 1 reflects the electrolyte specialist role; difficulty 5 is a provisional integration estimate.</x:v>
      </x:c>
      <x:c r="J30" s="12" t="str">
        <x:v>Requires driver/human-player coordination, measured route access and compatible partner timing.</x:v>
      </x:c>
      <x:c r="K30" s="12" t="str">
        <x:v>Proposed, not tested: Clear 8/10 seeded recoverable jams within 3 s without manual access.</x:v>
      </x:c>
      <x:c r="L30" s="12" t="str">
        <x:v>DunkTank supplied Game Update 01, Engineering inference</x:v>
      </x:c>
      <x:c r="M30" s="12" t="str">
        <x:v>Unknown exact CAD/operating performance. Smallest test: Clear 8/10 seeded recoverable jams within 3 s without manual access.</x:v>
      </x:c>
      <x:c r="N30" s="12" t="str">
        <x:v>Pending human review</x:v>
      </x:c>
    </x:row>
    <x:row r="31" ht="105" customHeight="1">
      <x:c r="A31" s="8" t="str">
        <x:v>Storage / transfer</x:v>
      </x:c>
      <x:c r="B31" s="12" t="str">
        <x:v>Keep electronics and battery accessible</x:v>
      </x:c>
      <x:c r="C31" s="12" t="str">
        <x:v>All</x:v>
      </x:c>
      <x:c r="D31" s="12" t="str">
        <x:v>Repairability</x:v>
      </x:c>
      <x:c r="E31" s="12" t="n">
        <x:v>1</x:v>
      </x:c>
      <x:c r="F31" s="12" t="n">
        <x:v>3</x:v>
      </x:c>
      <x:c r="G31" s="13" t="n">
        <x:f>IF(OR(B31="",E31="",F31=""),"",E31*F31)</x:f>
        <x:v>3</x:v>
      </x:c>
      <x:c r="H31" s="12" t="str">
        <x:v>Must do</x:v>
      </x:c>
      <x:c r="I31" s="12" t="str">
        <x:v>A bulk hopper must not require unloading and disassembly for normal service. Priority 1 reflects the electrolyte specialist role; difficulty 3 is a provisional integration estimate.</x:v>
      </x:c>
      <x:c r="J31" s="12" t="str">
        <x:v>Requires driver/human-player coordination, measured route access and compatible partner timing.</x:v>
      </x:c>
      <x:c r="K31" s="12" t="str">
        <x:v>Proposed, not tested: Battery access &lt;=60 s; wear-part replacement &lt;=5 min proposed.</x:v>
      </x:c>
      <x:c r="L31" s="12" t="str">
        <x:v>DunkTank supplied Game Update 01, 604-expansion-2026-1/2/5</x:v>
      </x:c>
      <x:c r="M31" s="12" t="str">
        <x:v>Unknown exact CAD/operating performance. Smallest test: Battery access &lt;=60 s; wear-part replacement &lt;=5 min proposed.</x:v>
      </x:c>
      <x:c r="N31" s="12" t="str">
        <x:v>Pending human review</x:v>
      </x:c>
    </x:row>
    <x:row r="32" ht="105" customHeight="1">
      <x:c r="A32" s="8" t="str">
        <x:v>Resource control</x:v>
      </x:c>
      <x:c r="B32" s="12" t="str">
        <x:v>Track own tank remaining threshold</x:v>
      </x:c>
      <x:c r="C32" s="12" t="str">
        <x:v>Teleop</x:v>
      </x:c>
      <x:c r="D32" s="12" t="str">
        <x:v>100 total triggers clear</x:v>
      </x:c>
      <x:c r="E32" s="12" t="n">
        <x:v>1</x:v>
      </x:c>
      <x:c r="F32" s="12" t="n">
        <x:v>5</x:v>
      </x:c>
      <x:c r="G32" s="13" t="n">
        <x:f>IF(OR(B32="",E32="",F32=""),"",E32*F32)</x:f>
        <x:v>5</x:v>
      </x:c>
      <x:c r="H32" s="12" t="str">
        <x:v>Must do</x:v>
      </x:c>
      <x:c r="I32" s="12" t="str">
        <x:v>Partial loads by partners change the required addition; a 100-ball onboard count is not tank state. Priority 1 reflects the electrolyte specialist role; difficulty 5 is a provisional integration estimate.</x:v>
      </x:c>
      <x:c r="J32" s="12" t="str">
        <x:v>Requires driver/human-player coordination, measured route access and compatible partner timing.</x:v>
      </x:c>
      <x:c r="K32" s="12" t="str">
        <x:v>Proposed, not tested: Correct threshold decisions across 30 simulated partner additions.</x:v>
      </x:c>
      <x:c r="L32" s="12" t="str">
        <x:v>DunkTank supplied Game Update 01, p12</x:v>
      </x:c>
      <x:c r="M32" s="12" t="str">
        <x:v>Unknown exact CAD/operating performance. Smallest test: Correct threshold decisions across 30 simulated partner additions.</x:v>
      </x:c>
      <x:c r="N32" s="12" t="str">
        <x:v>Pending human review</x:v>
      </x:c>
    </x:row>
    <x:row r="33" ht="105" customHeight="1">
      <x:c r="A33" s="8" t="str">
        <x:v>Resource control</x:v>
      </x:c>
      <x:c r="B33" s="12" t="str">
        <x:v>Schedule clears around hoop occupancy</x:v>
      </x:c>
      <x:c r="C33" s="12" t="str">
        <x:v>Teleop before 20 s</x:v>
      </x:c>
      <x:c r="D33" s="12" t="str">
        <x:v>Up to 48 ordinary basketball points perfull refill</x:v>
      </x:c>
      <x:c r="E33" s="12" t="n">
        <x:v>1</x:v>
      </x:c>
      <x:c r="F33" s="12" t="n">
        <x:v>3</x:v>
      </x:c>
      <x:c r="G33" s="13" t="n">
        <x:f>IF(OR(B33="",E33="",F33=""),"",E33*F33)</x:f>
        <x:v>3</x:v>
      </x:c>
      <x:c r="H33" s="12" t="str">
        <x:v>Must do</x:v>
      </x:c>
      <x:c r="I33" s="12" t="str">
        <x:v>Clear only when enabled scoring exceeds lost stored-stack progress and timing cost. Priority 1 reflects the electrolyte specialist role; difficulty 3 is a provisional integration estimate.</x:v>
      </x:c>
      <x:c r="J33" s="12" t="str">
        <x:v>Requires driver/human-player coordination, measured route access and compatible partner timing.</x:v>
      </x:c>
      <x:c r="K33" s="12" t="str">
        <x:v>Proposed, not tested: Alliance simulation logs every clear and subsequent refill.</x:v>
      </x:c>
      <x:c r="L33" s="12" t="str">
        <x:v>DunkTank supplied Game Update 01, pp3,10,12</x:v>
      </x:c>
      <x:c r="M33" s="12" t="str">
        <x:v>Unknown exact CAD/operating performance. Smallest test: Alliance simulation logs every clear and subsequent refill.</x:v>
      </x:c>
      <x:c r="N33" s="12" t="str">
        <x:v>Pending human review</x:v>
      </x:c>
    </x:row>
    <x:row r="34" ht="105" customHeight="1">
      <x:c r="A34" s="8" t="str">
        <x:v>Resource control</x:v>
      </x:c>
      <x:c r="B34" s="12" t="str">
        <x:v>Force opposing stack clear</x:v>
      </x:c>
      <x:c r="C34" s="12" t="str">
        <x:v>Teleop before 20 s</x:v>
      </x:c>
      <x:c r="D34" s="12" t="str">
        <x:v>Up to 60 final bonus points threatened</x:v>
      </x:c>
      <x:c r="E34" s="12" t="n">
        <x:v>1</x:v>
      </x:c>
      <x:c r="F34" s="12" t="n">
        <x:v>5</x:v>
      </x:c>
      <x:c r="G34" s="13" t="n">
        <x:f>IF(OR(B34="",E34="",F34=""),"",E34*F34)</x:f>
        <x:v>5</x:v>
      </x:c>
      <x:c r="H34" s="12" t="str">
        <x:v>Must do</x:v>
      </x:c>
      <x:c r="I34" s="12" t="str">
        <x:v>Legal tank scoring can reset the opponent, but early resets may help them score again. Priority 1 reflects the electrolyte specialist role; difficulty 5 is a provisional integration estimate.</x:v>
      </x:c>
      <x:c r="J34" s="12" t="str">
        <x:v>Requires driver/human-player coordination, measured route access and compatible partner timing.</x:v>
      </x:c>
      <x:c r="K34" s="12" t="str">
        <x:v>Proposed, not tested: Deliver needed threshold before 20-s cutoff with measured approach uncertainty.</x:v>
      </x:c>
      <x:c r="L34" s="12" t="str">
        <x:v>DunkTank supplied Game Update 01, Organizer posts62/70/73; p12</x:v>
      </x:c>
      <x:c r="M34" s="12" t="str">
        <x:v>Unknown exact CAD/operating performance. Smallest test: Deliver needed threshold before 20-s cutoff with measured approach uncertainty.</x:v>
      </x:c>
      <x:c r="N34" s="12" t="str">
        <x:v>Pending human review</x:v>
      </x:c>
    </x:row>
    <x:row r="35" ht="105" customHeight="1">
      <x:c r="A35" s="8" t="str">
        <x:v>Resource control</x:v>
      </x:c>
      <x:c r="B35" s="12" t="str">
        <x:v>Reserve late attack inventory</x:v>
      </x:c>
      <x:c r="C35" s="12" t="str">
        <x:v>Late teleop</x:v>
      </x:c>
      <x:c r="D35" s="12" t="str">
        <x:v>Reliable hostile threshold crossing</x:v>
      </x:c>
      <x:c r="E35" s="12" t="n">
        <x:v>1</x:v>
      </x:c>
      <x:c r="F35" s="12" t="n">
        <x:v>3</x:v>
      </x:c>
      <x:c r="G35" s="13" t="n">
        <x:f>IF(OR(B35="",E35="",F35=""),"",E35*F35)</x:f>
        <x:v>3</x:v>
      </x:c>
      <x:c r="H35" s="12" t="str">
        <x:v>Must do</x:v>
      </x:c>
      <x:c r="I35" s="12" t="str">
        <x:v>Do not arrive with 99 when opponent tank is empty; guarantee delivered count and timing. Priority 1 reflects the electrolyte specialist role; difficulty 3 is a provisional integration estimate.</x:v>
      </x:c>
      <x:c r="J35" s="12" t="str">
        <x:v>Requires driver/human-player coordination, measured route access and compatible partner timing.</x:v>
      </x:c>
      <x:c r="K35" s="12" t="str">
        <x:v>Proposed, not tested: Reserve&gt;=100 deliverable before planned attack; confirm target state.</x:v>
      </x:c>
      <x:c r="L35" s="12" t="str">
        <x:v>DunkTank supplied Game Update 01, p12; engineering inference</x:v>
      </x:c>
      <x:c r="M35" s="12" t="str">
        <x:v>Unknown exact CAD/operating performance. Smallest test: Reserve&gt;=100 deliverable before planned attack; confirm target state.</x:v>
      </x:c>
      <x:c r="N35" s="12" t="str">
        <x:v>Pending human review</x:v>
      </x:c>
    </x:row>
    <x:row r="36" ht="105" customHeight="1">
      <x:c r="A36" s="8" t="str">
        <x:v>Resource control</x:v>
      </x:c>
      <x:c r="B36" s="12" t="str">
        <x:v>Avoid premature shared bonus donation</x:v>
      </x:c>
      <x:c r="C36" s="12" t="str">
        <x:v>Teleop</x:v>
      </x:c>
      <x:c r="D36" s="12" t="str">
        <x:v>100 center balls gives BOTH alliances one token</x:v>
      </x:c>
      <x:c r="E36" s="12" t="n">
        <x:v>1</x:v>
      </x:c>
      <x:c r="F36" s="12" t="n">
        <x:v>2</x:v>
      </x:c>
      <x:c r="G36" s="13" t="n">
        <x:f>IF(OR(B36="",E36="",F36=""),"",E36*F36)</x:f>
        <x:v>2</x:v>
      </x:c>
      <x:c r="H36" s="12" t="str">
        <x:v>Must do</x:v>
      </x:c>
      <x:c r="I36" s="12" t="str">
        <x:v>Central deposit permanently consumes supply and empowers the opponent too. Priority 1 reflects the electrolyte specialist role; difficulty 2 is a provisional integration estimate.</x:v>
      </x:c>
      <x:c r="J36" s="12" t="str">
        <x:v>Requires driver/human-player coordination, measured route access and compatible partner timing.</x:v>
      </x:c>
      <x:c r="K36" s="12" t="str">
        <x:v>Proposed, not tested: Use net expected incremental basketball points before authorizing center deposit.</x:v>
      </x:c>
      <x:c r="L36" s="12" t="str">
        <x:v>DunkTank supplied Game Update 01, p12</x:v>
      </x:c>
      <x:c r="M36" s="12" t="str">
        <x:v>Unknown exact CAD/operating performance. Smallest test: Use net expected incremental basketball points before authorizing center deposit.</x:v>
      </x:c>
      <x:c r="N36" s="12" t="str">
        <x:v>Pending human review</x:v>
      </x:c>
    </x:row>
    <x:row r="37" ht="105" customHeight="1">
      <x:c r="A37" s="8" t="str">
        <x:v>Resource control</x:v>
      </x:c>
      <x:c r="B37" s="12" t="str">
        <x:v>Conditional one-clear plus one-bonus RP</x:v>
      </x:c>
      <x:c r="C37" s="12" t="str">
        <x:v>Qualifications</x:v>
      </x:c>
      <x:c r="D37" s="12" t="str">
        <x:v>1 RP alternative tothree clears</x:v>
      </x:c>
      <x:c r="E37" s="12" t="n">
        <x:v>2</x:v>
      </x:c>
      <x:c r="F37" s="12" t="n">
        <x:v>3</x:v>
      </x:c>
      <x:c r="G37" s="13" t="n">
        <x:f>IF(OR(B37="",E37="",F37=""),"",E37*F37)</x:f>
        <x:v>6</x:v>
      </x:c>
      <x:c r="H37" s="12" t="str">
        <x:v>Might do</x:v>
      </x:c>
      <x:c r="I37" s="12" t="str">
        <x:v>Center can be justified by RP or favorable readiness, not assumed always bad. Priority 2 reflects the electrolyte specialist role; difficulty 3 is a provisional integration estimate.</x:v>
      </x:c>
      <x:c r="J37" s="12" t="str">
        <x:v>Requires driver/human-player coordination, measured route access and compatible partner timing.</x:v>
      </x:c>
      <x:c r="K37" s="12" t="str">
        <x:v>Proposed, not tested: Compare route/time and opposing bonus value for each alliance.</x:v>
      </x:c>
      <x:c r="L37" s="12" t="str">
        <x:v>DunkTank supplied Game Update 01, T01E p19</x:v>
      </x:c>
      <x:c r="M37" s="12" t="str">
        <x:v>Unknown exact CAD/operating performance. Smallest test: Compare route/time and opposing bonus value for each alliance.</x:v>
      </x:c>
      <x:c r="N37" s="12" t="str">
        <x:v>Pending human review</x:v>
      </x:c>
    </x:row>
    <x:row r="38" ht="105" customHeight="1">
      <x:c r="A38" s="8" t="str">
        <x:v>Resource control</x:v>
      </x:c>
      <x:c r="B38" s="12" t="str">
        <x:v>Supply final stack refill window</x:v>
      </x:c>
      <x:c r="C38" s="12" t="str">
        <x:v>Last part ofteleop</x:v>
      </x:c>
      <x:c r="D38" s="12" t="str">
        <x:v>60 stack bonus plus 1 RP for all full</x:v>
      </x:c>
      <x:c r="E38" s="12" t="n">
        <x:v>1</x:v>
      </x:c>
      <x:c r="F38" s="12" t="n">
        <x:v>3</x:v>
      </x:c>
      <x:c r="G38" s="13" t="n">
        <x:f>IF(OR(B38="",E38="",F38=""),"",E38*F38)</x:f>
        <x:v>3</x:v>
      </x:c>
      <x:c r="H38" s="12" t="str">
        <x:v>Must do</x:v>
      </x:c>
      <x:c r="I38" s="12" t="str">
        <x:v>Stop own clears early enough for partners to refill 6/4/2; do not assign a universal cutoff. Priority 1 reflects the electrolyte specialist role; difficulty 3 is a provisional integration estimate.</x:v>
      </x:c>
      <x:c r="J38" s="12" t="str">
        <x:v>Requires driver/human-player coordination, measured route access and compatible partner timing.</x:v>
      </x:c>
      <x:c r="K38" s="12" t="str">
        <x:v>Proposed, not tested: Cutoff derived from measured remaining refill time plus margin.</x:v>
      </x:c>
      <x:c r="L38" s="12" t="str">
        <x:v>DunkTank supplied Game Update 01, pp3,10,T01D</x:v>
      </x:c>
      <x:c r="M38" s="12" t="str">
        <x:v>Unknown exact CAD/operating performance. Smallest test: Cutoff derived from measured remaining refill time plus margin.</x:v>
      </x:c>
      <x:c r="N38" s="12" t="str">
        <x:v>Pending human review</x:v>
      </x:c>
    </x:row>
    <x:row r="39" ht="105" customHeight="1">
      <x:c r="A39" s="8" t="str">
        <x:v>Scoring</x:v>
      </x:c>
      <x:c r="B39" s="12" t="str">
        <x:v>Deliver electrolytes to own tank in auto</x:v>
      </x:c>
      <x:c r="C39" s="12" t="str">
        <x:v>Auto</x:v>
      </x:c>
      <x:c r="D39" s="12" t="str">
        <x:v>0.5 points each</x:v>
      </x:c>
      <x:c r="E39" s="12" t="n">
        <x:v>1</x:v>
      </x:c>
      <x:c r="F39" s="12" t="n">
        <x:v>5</x:v>
      </x:c>
      <x:c r="G39" s="13" t="n">
        <x:f>IF(OR(B39="",E39="",F39=""),"",E39*F39)</x:f>
        <x:v>5</x:v>
      </x:c>
      <x:c r="H39" s="12" t="str">
        <x:v>Must do</x:v>
      </x:c>
      <x:c r="I39" s="12" t="str">
        <x:v>Tank does not retain auto balls; auto deliveries do not bank ateleop threshold. Priority 1 reflects the electrolyte specialist role; difficulty 5 is a provisional integration estimate.</x:v>
      </x:c>
      <x:c r="J39" s="12" t="str">
        <x:v>Requires driver/human-player coordination, measured route access and compatible partner timing.</x:v>
      </x:c>
      <x:c r="K39" s="12" t="str">
        <x:v>Proposed, not tested: 50 scored plus exit by 15 s in 18/20 trials.</x:v>
      </x:c>
      <x:c r="L39" s="12" t="str">
        <x:v>DunkTank supplied Game Update 01, pp3,12</x:v>
      </x:c>
      <x:c r="M39" s="12" t="str">
        <x:v>Unknown exact CAD/operating performance. Smallest test: 50 scored plus exit by 15 s in 18/20 trials.</x:v>
      </x:c>
      <x:c r="N39" s="12" t="str">
        <x:v>Pending human review</x:v>
      </x:c>
    </x:row>
    <x:row r="40" ht="105" customHeight="1">
      <x:c r="A40" s="8" t="str">
        <x:v>Scoring</x:v>
      </x:c>
      <x:c r="B40" s="12" t="str">
        <x:v>Deliver electrolytes for own clear</x:v>
      </x:c>
      <x:c r="C40" s="12" t="str">
        <x:v>Ordinary teleop</x:v>
      </x:c>
      <x:c r="D40" s="12" t="str">
        <x:v>No direct points</x:v>
      </x:c>
      <x:c r="E40" s="12" t="n">
        <x:v>1</x:v>
      </x:c>
      <x:c r="F40" s="12" t="n">
        <x:v>5</x:v>
      </x:c>
      <x:c r="G40" s="13" t="n">
        <x:f>IF(OR(B40="",E40="",F40=""),"",E40*F40)</x:f>
        <x:v>5</x:v>
      </x:c>
      <x:c r="H40" s="12" t="str">
        <x:v>Must do</x:v>
      </x:c>
      <x:c r="I40" s="12" t="str">
        <x:v>Value is enabled basketball cycles; do not claim 48 individual robot points perdelivery. Priority 1 reflects the electrolyte specialist role; difficulty 5 is a provisional integration estimate.</x:v>
      </x:c>
      <x:c r="J40" s="12" t="str">
        <x:v>Requires driver/human-player coordination, measured route access and compatible partner timing.</x:v>
      </x:c>
      <x:c r="K40" s="12" t="str">
        <x:v>Proposed, not tested: 100 scored when requested, no blocked opening/chute.</x:v>
      </x:c>
      <x:c r="L40" s="12" t="str">
        <x:v>DunkTank supplied Game Update 01, p12,G12</x:v>
      </x:c>
      <x:c r="M40" s="12" t="str">
        <x:v>Unknown exact CAD/operating performance. Smallest test: 100 scored when requested, no blocked opening/chute.</x:v>
      </x:c>
      <x:c r="N40" s="12" t="str">
        <x:v>Pending human review</x:v>
      </x:c>
    </x:row>
    <x:row r="41" ht="105" customHeight="1">
      <x:c r="A41" s="8" t="str">
        <x:v>Scoring</x:v>
      </x:c>
      <x:c r="B41" s="12" t="str">
        <x:v>Deliver to opponent tank</x:v>
      </x:c>
      <x:c r="C41" s="12" t="str">
        <x:v>Ordinary teleop</x:v>
      </x:c>
      <x:c r="D41" s="12" t="str">
        <x:v>No direct points; forced clear</x:v>
      </x:c>
      <x:c r="E41" s="12" t="n">
        <x:v>1</x:v>
      </x:c>
      <x:c r="F41" s="12" t="n">
        <x:v>5</x:v>
      </x:c>
      <x:c r="G41" s="13" t="n">
        <x:f>IF(OR(B41="",E41="",F41=""),"",E41*F41)</x:f>
        <x:v>5</x:v>
      </x:c>
      <x:c r="H41" s="12" t="str">
        <x:v>Must do</x:v>
      </x:c>
      <x:c r="I41" s="12" t="str">
        <x:v>Avoid attacking once clear is disabled; opponent'sprotected robot can deny contact access. Priority 1 reflects the electrolyte specialist role; difficulty 5 is a provisional integration estimate.</x:v>
      </x:c>
      <x:c r="J41" s="12" t="str">
        <x:v>Requires driver/human-player coordination, measured route access and compatible partner timing.</x:v>
      </x:c>
      <x:c r="K41" s="12" t="str">
        <x:v>Proposed, not tested: Legal timed delivery before 20 s remains in 18/20 route trials.</x:v>
      </x:c>
      <x:c r="L41" s="12" t="str">
        <x:v>DunkTank supplied Game Update 01, p12,G14; organizer post73</x:v>
      </x:c>
      <x:c r="M41" s="12" t="str">
        <x:v>Unknown exact CAD/operating performance. Smallest test: Legal timed delivery before 20 s remains in 18/20 route trials.</x:v>
      </x:c>
      <x:c r="N41" s="12" t="str">
        <x:v>Pending human review</x:v>
      </x:c>
    </x:row>
    <x:row r="42" ht="105" customHeight="1">
      <x:c r="A42" s="8" t="str">
        <x:v>Scoring</x:v>
      </x:c>
      <x:c r="B42" s="12" t="str">
        <x:v>Deliver to center bonus tank</x:v>
      </x:c>
      <x:c r="C42" s="12" t="str">
        <x:v>Teleop conditional</x:v>
      </x:c>
      <x:c r="D42" s="12" t="str">
        <x:v>Shared 10-s multiplier token</x:v>
      </x:c>
      <x:c r="E42" s="12" t="n">
        <x:v>2</x:v>
      </x:c>
      <x:c r="F42" s="12" t="n">
        <x:v>5</x:v>
      </x:c>
      <x:c r="G42" s="13" t="n">
        <x:f>IF(OR(B42="",E42="",F42=""),"",E42*F42)</x:f>
        <x:v>10</x:v>
      </x:c>
      <x:c r="H42" s="12" t="str">
        <x:v>Might do</x:v>
      </x:c>
      <x:c r="I42" s="12" t="str">
        <x:v>24-in opening and 83-in center pole constrain chute approach; center inventory never returns. Priority 2 reflects the electrolyte specialist role; difficulty 5 is a provisional integration estimate.</x:v>
      </x:c>
      <x:c r="J42" s="12" t="str">
        <x:v>Requires driver/human-player coordination, measured route access and compatible partner timing.</x:v>
      </x:c>
      <x:c r="K42" s="12" t="str">
        <x:v>Proposed, not tested: 100 counted with no pole/chute interference; fullbenefit model first.</x:v>
      </x:c>
      <x:c r="L42" s="12" t="str">
        <x:v>DunkTank supplied Game Update 01, p12</x:v>
      </x:c>
      <x:c r="M42" s="12" t="str">
        <x:v>Unknown exact CAD/operating performance. Smallest test: 100 counted with no pole/chute interference; fullbenefit model first.</x:v>
      </x:c>
      <x:c r="N42" s="12" t="str">
        <x:v>Pending human review</x:v>
      </x:c>
    </x:row>
    <x:row r="43" ht="105" customHeight="1">
      <x:c r="A43" s="8" t="str">
        <x:v>Scoring</x:v>
      </x:c>
      <x:c r="B43" s="12" t="str">
        <x:v>Score electrolytes during endgame</x:v>
      </x:c>
      <x:c r="C43" s="12" t="str">
        <x:v>Final 20 s</x:v>
      </x:c>
      <x:c r="D43" s="12" t="str">
        <x:v>1/3 point each</x:v>
      </x:c>
      <x:c r="E43" s="12" t="n">
        <x:v>1</x:v>
      </x:c>
      <x:c r="F43" s="12" t="n">
        <x:v>5</x:v>
      </x:c>
      <x:c r="G43" s="13" t="n">
        <x:f>IF(OR(B43="",E43="",F43=""),"",E43*F43)</x:f>
        <x:v>5</x:v>
      </x:c>
      <x:c r="H43" s="12" t="str">
        <x:v>Must do</x:v>
      </x:c>
      <x:c r="I43" s="12" t="str">
        <x:v>Switch toown direct scoring once clears are disabled; outlet must sustain useful delivery. Priority 1 reflects the electrolyte specialist role; difficulty 5 is a provisional integration estimate.</x:v>
      </x:c>
      <x:c r="J43" s="12" t="str">
        <x:v>Requires driver/human-player coordination, measured route access and compatible partner timing.</x:v>
      </x:c>
      <x:c r="K43" s="12" t="str">
        <x:v>Proposed, not tested: 100 delivered in&lt;=10 s for 33.33 points proposed.</x:v>
      </x:c>
      <x:c r="L43" s="12" t="str">
        <x:v>DunkTank supplied Game Update 01, pp3,12</x:v>
      </x:c>
      <x:c r="M43" s="12" t="str">
        <x:v>Unknown exact CAD/operating performance. Smallest test: 100 delivered in&lt;=10 s for 33.33 points proposed.</x:v>
      </x:c>
      <x:c r="N43" s="12" t="str">
        <x:v>Pending human review</x:v>
      </x:c>
    </x:row>
    <x:row r="44" ht="105" customHeight="1">
      <x:c r="A44" s="8" t="str">
        <x:v>Scoring</x:v>
      </x:c>
      <x:c r="B44" s="12" t="str">
        <x:v>Dunk low basketballs</x:v>
      </x:c>
      <x:c r="C44" s="12" t="str">
        <x:v>Auto/teleop alternative</x:v>
      </x:c>
      <x:c r="D44" s="12" t="str">
        <x:v>3 auto;2/4 teleop</x:v>
      </x:c>
      <x:c r="E44" s="12" t="n">
        <x:v>3</x:v>
      </x:c>
      <x:c r="F44" s="12" t="n">
        <x:v>5</x:v>
      </x:c>
      <x:c r="G44" s="13" t="n">
        <x:f>IF(OR(B44="",E44="",F44=""),"",E44*F44)</x:f>
        <x:v>15</x:v>
      </x:c>
      <x:c r="H44" s="12" t="str">
        <x:v>Won’t do</x:v>
      </x:c>
      <x:c r="I44" s="12" t="str">
        <x:v>A separate one-ball mechanism displaces bulk capacity; excluded from selected specialist. Priority 3 reflects the electrolyte specialist role; difficulty 5 is a provisional integration estimate.</x:v>
      </x:c>
      <x:c r="J44" s="12" t="str">
        <x:v>Excluded from selected role; basketball scoring assigned to partners where applicable.</x:v>
      </x:c>
      <x:c r="K44" s="12" t="str">
        <x:v>Proposed, not tested: N/A selected role; prerequisite 6-perfill delegated to partner.</x:v>
      </x:c>
      <x:c r="L44" s="12" t="str">
        <x:v>DunkTank supplied Game Update 01, pp3,9-10,G15/G18/G19</x:v>
      </x:c>
      <x:c r="M44" s="12" t="str">
        <x:v>Unknown exact CAD/operating performance. Smallest test: N/A selected role; prerequisite 6-perfill delegated to partner.</x:v>
      </x:c>
      <x:c r="N44" s="12" t="str">
        <x:v>Pending human review</x:v>
      </x:c>
    </x:row>
    <x:row r="45" ht="105" customHeight="1">
      <x:c r="A45" s="8" t="str">
        <x:v>Scoring</x:v>
      </x:c>
      <x:c r="B45" s="12" t="str">
        <x:v>Dunk middle basketballs</x:v>
      </x:c>
      <x:c r="C45" s="12" t="str">
        <x:v>Auto/teleop alternative</x:v>
      </x:c>
      <x:c r="D45" s="12" t="str">
        <x:v>8 auto;5/10 teleop</x:v>
      </x:c>
      <x:c r="E45" s="12" t="n">
        <x:v>3</x:v>
      </x:c>
      <x:c r="F45" s="12" t="n">
        <x:v>8</x:v>
      </x:c>
      <x:c r="G45" s="13" t="n">
        <x:f>IF(OR(B45="",E45="",F45=""),"",E45*F45)</x:f>
        <x:v>24</x:v>
      </x:c>
      <x:c r="H45" s="12" t="str">
        <x:v>Won’t do</x:v>
      </x:c>
      <x:c r="I45" s="12" t="str">
        <x:v>54-in rim requires extension inside dunk zone; valuable partner task, separate architecture. Priority 3 reflects the electrolyte specialist role; difficulty 8 is a provisional integration estimate.</x:v>
      </x:c>
      <x:c r="J45" s="12" t="str">
        <x:v>Excluded from selected role; basketball scoring assigned to partners where applicable.</x:v>
      </x:c>
      <x:c r="K45" s="12" t="str">
        <x:v>Proposed, not tested: N/A selected role;4-perfill delegated to partner.</x:v>
      </x:c>
      <x:c r="L45" s="12" t="str">
        <x:v>DunkTank supplied Game Update 01, pp3,9-10,G20</x:v>
      </x:c>
      <x:c r="M45" s="12" t="str">
        <x:v>Unknown exact CAD/operating performance. Smallest test: N/A selected role;4-perfill delegated to partner.</x:v>
      </x:c>
      <x:c r="N45" s="12" t="str">
        <x:v>Pending human review</x:v>
      </x:c>
    </x:row>
    <x:row r="46" ht="105" customHeight="1">
      <x:c r="A46" s="8" t="str">
        <x:v>Scoring</x:v>
      </x:c>
      <x:c r="B46" s="12" t="str">
        <x:v>Dunk high basketballs</x:v>
      </x:c>
      <x:c r="C46" s="12" t="str">
        <x:v>Auto alternative</x:v>
      </x:c>
      <x:c r="D46" s="12" t="str">
        <x:v>12 each, no stack prerequisite</x:v>
      </x:c>
      <x:c r="E46" s="12" t="n">
        <x:v>3</x:v>
      </x:c>
      <x:c r="F46" s="12" t="n">
        <x:v>13</x:v>
      </x:c>
      <x:c r="G46" s="13" t="n">
        <x:f>IF(OR(B46="",E46="",F46=""),"",E46*F46)</x:f>
        <x:v>39</x:v>
      </x:c>
      <x:c r="H46" s="12" t="str">
        <x:v>Won’t do</x:v>
      </x:c>
      <x:c r="I46" s="12" t="str">
        <x:v>90-in lift saves no electrolyte work; selected auto 50-ball preload worth 25 instead. Priority 3 reflects the electrolyte specialist role; difficulty 13 is a provisional integration estimate.</x:v>
      </x:c>
      <x:c r="J46" s="12" t="str">
        <x:v>Excluded from selected role; basketball scoring assigned to partners where applicable.</x:v>
      </x:c>
      <x:c r="K46" s="12" t="str">
        <x:v>Proposed, not tested: N/A selected role; compare alternate team's repeatable auto.</x:v>
      </x:c>
      <x:c r="L46" s="12" t="str">
        <x:v>DunkTank supplied Game Update 01, pp3,9-10</x:v>
      </x:c>
      <x:c r="M46" s="12" t="str">
        <x:v>Unknown exact CAD/operating performance. Smallest test: N/A selected role; compare alternate team's repeatable auto.</x:v>
      </x:c>
      <x:c r="N46" s="12" t="str">
        <x:v>Pending human review</x:v>
      </x:c>
    </x:row>
    <x:row r="47" ht="105" customHeight="1">
      <x:c r="A47" s="8" t="str">
        <x:v>Scoring</x:v>
      </x:c>
      <x:c r="B47" s="12" t="str">
        <x:v>Dunk high basketballs</x:v>
      </x:c>
      <x:c r="C47" s="12" t="str">
        <x:v>Teleop alternative</x:v>
      </x:c>
      <x:c r="D47" s="12" t="str">
        <x:v>8/16 each;2 counted perfill</x:v>
      </x:c>
      <x:c r="E47" s="12" t="n">
        <x:v>3</x:v>
      </x:c>
      <x:c r="F47" s="12" t="n">
        <x:v>13</x:v>
      </x:c>
      <x:c r="G47" s="13" t="n">
        <x:f>IF(OR(B47="",E47="",F47=""),"",E47*F47)</x:f>
        <x:v>39</x:v>
      </x:c>
      <x:c r="H47" s="12" t="str">
        <x:v>Won’t do</x:v>
      </x:c>
      <x:c r="I47" s="12" t="str">
        <x:v>Ten prerequisite low/middle scores make a high-only teleop robot dependent on partner throughput. Priority 3 reflects the electrolyte specialist role; difficulty 13 is a provisional integration estimate.</x:v>
      </x:c>
      <x:c r="J47" s="12" t="str">
        <x:v>Excluded from selected role; basketball scoring assigned to partners where applicable.</x:v>
      </x:c>
      <x:c r="K47" s="12" t="str">
        <x:v>Proposed, not tested: N/A selected role;2-perfill delegated afterlow/mid.</x:v>
      </x:c>
      <x:c r="L47" s="12" t="str">
        <x:v>DunkTank supplied Game Update 01, pp3,9-10</x:v>
      </x:c>
      <x:c r="M47" s="12" t="str">
        <x:v>Unknown exact CAD/operating performance. Smallest test: N/A selected role;2-perfill delegated afterlow/mid.</x:v>
      </x:c>
      <x:c r="N47" s="12" t="str">
        <x:v>Pending human review</x:v>
      </x:c>
    </x:row>
    <x:row r="48" ht="105" customHeight="1">
      <x:c r="A48" s="8" t="str">
        <x:v>Autonomous</x:v>
      </x:c>
      <x:c r="B48" s="12" t="str">
        <x:v>Avoid offside opponent contact</x:v>
      </x:c>
      <x:c r="C48" s="12" t="str">
        <x:v>Auto</x:v>
      </x:c>
      <x:c r="D48" s="12" t="str">
        <x:v>20-point technical; strategicDQ</x:v>
      </x:c>
      <x:c r="E48" s="12" t="n">
        <x:v>1</x:v>
      </x:c>
      <x:c r="F48" s="12" t="n">
        <x:v>3</x:v>
      </x:c>
      <x:c r="G48" s="13" t="n">
        <x:f>IF(OR(B48="",E48="",F48=""),"",E48*F48)</x:f>
        <x:v>3</x:v>
      </x:c>
      <x:c r="H48" s="12" t="str">
        <x:v>Must do</x:v>
      </x:c>
      <x:c r="I48" s="12" t="str">
        <x:v>Crossing alone is not prohibited; use safe own-tank start routine. Priority 1 reflects the electrolyte specialist role; difficulty 3 is a provisional integration estimate.</x:v>
      </x:c>
      <x:c r="J48" s="12" t="str">
        <x:v>Requires driver/human-player coordination, measured route access and compatible partner timing.</x:v>
      </x:c>
      <x:c r="K48" s="12" t="str">
        <x:v>Proposed, not tested: Zero illegal contacts over 20 startup/path error scenarios.</x:v>
      </x:c>
      <x:c r="L48" s="12" t="str">
        <x:v>DunkTank supplied Game Update 01, G04 p15; organizer post77</x:v>
      </x:c>
      <x:c r="M48" s="12" t="str">
        <x:v>Unknown exact CAD/operating performance. Smallest test: Zero illegal contacts over 20 startup/path error scenarios.</x:v>
      </x:c>
      <x:c r="N48" s="12" t="str">
        <x:v>Pending human review</x:v>
      </x:c>
    </x:row>
    <x:row r="49" ht="105" customHeight="1">
      <x:c r="A49" s="8" t="str">
        <x:v>Autonomous</x:v>
      </x:c>
      <x:c r="B49" s="12" t="str">
        <x:v>Use tank-zone starting position</x:v>
      </x:c>
      <x:c r="C49" s="12" t="str">
        <x:v>Auto</x:v>
      </x:c>
      <x:c r="D49" s="12" t="str">
        <x:v>Short preload discharge route</x:v>
      </x:c>
      <x:c r="E49" s="12" t="n">
        <x:v>1</x:v>
      </x:c>
      <x:c r="F49" s="12" t="n">
        <x:v>3</x:v>
      </x:c>
      <x:c r="G49" s="13" t="n">
        <x:f>IF(OR(B49="",E49="",F49=""),"",E49*F49)</x:f>
        <x:v>3</x:v>
      </x:c>
      <x:c r="H49" s="12" t="str">
        <x:v>Must do</x:v>
      </x:c>
      <x:c r="I49" s="12" t="str">
        <x:v>Robot may start fully within own tank zone; exact chute-to-opening reach must be measured. Priority 1 reflects the electrolyte specialist role; difficulty 3 is a provisional integration estimate.</x:v>
      </x:c>
      <x:c r="J49" s="12" t="str">
        <x:v>Requires driver/human-player coordination, measured route access and compatible partner timing.</x:v>
      </x:c>
      <x:c r="K49" s="12" t="str">
        <x:v>Proposed, not tested: Full starting-volume containment and legal 50-piece preload.</x:v>
      </x:c>
      <x:c r="L49" s="12" t="str">
        <x:v>DunkTank supplied Game Update 01, G01 p15; pp5-6</x:v>
      </x:c>
      <x:c r="M49" s="12" t="str">
        <x:v>Unknown exact CAD/operating performance. Smallest test: Full starting-volume containment and legal 50-piece preload.</x:v>
      </x:c>
      <x:c r="N49" s="12" t="str">
        <x:v>Pending human review</x:v>
      </x:c>
    </x:row>
    <x:row r="50" ht="105" customHeight="1">
      <x:c r="A50" s="8" t="str">
        <x:v>Autonomous</x:v>
      </x:c>
      <x:c r="B50" s="12" t="str">
        <x:v>Preload basketball instead ofelectrolytes</x:v>
      </x:c>
      <x:c r="C50" s="12" t="str">
        <x:v>Auto alternative</x:v>
      </x:c>
      <x:c r="D50" s="12" t="str">
        <x:v>6+up to 12 points</x:v>
      </x:c>
      <x:c r="E50" s="12" t="n">
        <x:v>3</x:v>
      </x:c>
      <x:c r="F50" s="12" t="n">
        <x:v>8</x:v>
      </x:c>
      <x:c r="G50" s="13" t="n">
        <x:f>IF(OR(B50="",E50="",F50=""),"",E50*F50)</x:f>
        <x:v>24</x:v>
      </x:c>
      <x:c r="H50" s="12" t="str">
        <x:v>Won’t do</x:v>
      </x:c>
      <x:c r="I50" s="12" t="str">
        <x:v>Mutually exclusive preload favors electrolyte role; do not add both inventories at start. Priority 3 reflects the electrolyte specialist role; difficulty 8 is a provisional integration estimate.</x:v>
      </x:c>
      <x:c r="J50" s="12" t="str">
        <x:v>Excluded from selected role; basketball scoring assigned to partners where applicable.</x:v>
      </x:c>
      <x:c r="K50" s="12" t="str">
        <x:v>Proposed, not tested: N/A selected role; no mixed preload assumed.</x:v>
      </x:c>
      <x:c r="L50" s="12" t="str">
        <x:v>DunkTank supplied Game Update 01, pp7-8</x:v>
      </x:c>
      <x:c r="M50" s="12" t="str">
        <x:v>Unknown exact CAD/operating performance. Smallest test: N/A selected role; no mixed preload assumed.</x:v>
      </x:c>
      <x:c r="N50" s="12" t="str">
        <x:v>Pending human review</x:v>
      </x:c>
    </x:row>
    <x:row r="51" ht="105" customHeight="1">
      <x:c r="A51" s="8" t="str">
        <x:v>Autonomous</x:v>
      </x:c>
      <x:c r="B51" s="12" t="str">
        <x:v>Recover auto-scored electrolytes</x:v>
      </x:c>
      <x:c r="C51" s="12" t="str">
        <x:v>Auto/earlyteleop</x:v>
      </x:c>
      <x:c r="D51" s="12" t="str">
        <x:v>Recycled supply</x:v>
      </x:c>
      <x:c r="E51" s="12" t="n">
        <x:v>2</x:v>
      </x:c>
      <x:c r="F51" s="12" t="n">
        <x:v>8</x:v>
      </x:c>
      <x:c r="G51" s="13" t="n">
        <x:f>IF(OR(B51="",E51="",F51=""),"",E51*F51)</x:f>
        <x:v>16</x:v>
      </x:c>
      <x:c r="H51" s="12" t="str">
        <x:v>Might do</x:v>
      </x:c>
      <x:c r="I51" s="12" t="str">
        <x:v>Extra auto scoring must include return flow time, pickup and exit; no repeated instantaneous loop. Priority 2 reflects the electrolyte specialist role; difficulty 8 is a provisional integration estimate.</x:v>
      </x:c>
      <x:c r="J51" s="12" t="str">
        <x:v>Requires driver/human-player coordination, measured route access and compatible partner timing.</x:v>
      </x:c>
      <x:c r="K51" s="12" t="str">
        <x:v>Proposed, not tested: Target unresolved until actual chute and return time modeled.</x:v>
      </x:c>
      <x:c r="L51" s="12" t="str">
        <x:v>DunkTank supplied Game Update 01, p12; organizer post66</x:v>
      </x:c>
      <x:c r="M51" s="12" t="str">
        <x:v>Unknown exact CAD/operating performance. Smallest test: Target unresolved until actual chute and return time modeled.</x:v>
      </x:c>
      <x:c r="N51" s="12" t="str">
        <x:v>Pending human review</x:v>
      </x:c>
    </x:row>
    <x:row r="52" ht="105" customHeight="1">
      <x:c r="A52" s="8" t="str">
        <x:v>Endgame</x:v>
      </x:c>
      <x:c r="B52" s="12" t="str">
        <x:v>Stop forced clears at 20-s boundary</x:v>
      </x:c>
      <x:c r="C52" s="12" t="str">
        <x:v>Final 20 s</x:v>
      </x:c>
      <x:c r="D52" s="12" t="str">
        <x:v>Clear disabled</x:v>
      </x:c>
      <x:c r="E52" s="12" t="n">
        <x:v>1</x:v>
      </x:c>
      <x:c r="F52" s="12" t="n">
        <x:v>2</x:v>
      </x:c>
      <x:c r="G52" s="13" t="n">
        <x:f>IF(OR(B52="",E52="",F52=""),"",E52*F52)</x:f>
        <x:v>2</x:v>
      </x:c>
      <x:c r="H52" s="12" t="str">
        <x:v>Must do</x:v>
      </x:c>
      <x:c r="I52" s="12" t="str">
        <x:v>A late 100-ball attack cannot remove opponent stacks aftereffect is disabled. Priority 1 reflects the electrolyte specialist role; difficulty 2 is a provisional integration estimate.</x:v>
      </x:c>
      <x:c r="J52" s="12" t="str">
        <x:v>Requires driver/human-player coordination, measured route access and compatible partner timing.</x:v>
      </x:c>
      <x:c r="K52" s="12" t="str">
        <x:v>Proposed, not tested: No attack command without sufficient scoring-time margin.</x:v>
      </x:c>
      <x:c r="L52" s="12" t="str">
        <x:v>DunkTank supplied Game Update 01, p12</x:v>
      </x:c>
      <x:c r="M52" s="12" t="str">
        <x:v>Unknown exact CAD/operating performance. Smallest test: No attack command without sufficient scoring-time margin.</x:v>
      </x:c>
      <x:c r="N52" s="12" t="str">
        <x:v>Pending human review</x:v>
      </x:c>
    </x:row>
    <x:row r="53" ht="105" customHeight="1">
      <x:c r="A53" s="8" t="str">
        <x:v>Endgame</x:v>
      </x:c>
      <x:c r="B53" s="12" t="str">
        <x:v>Preserve own full stacks</x:v>
      </x:c>
      <x:c r="C53" s="12" t="str">
        <x:v>Endgame</x:v>
      </x:c>
      <x:c r="D53" s="12" t="str">
        <x:v>20 each, evaluated only at end</x:v>
      </x:c>
      <x:c r="E53" s="12" t="n">
        <x:v>1</x:v>
      </x:c>
      <x:c r="F53" s="12" t="n">
        <x:v>3</x:v>
      </x:c>
      <x:c r="G53" s="13" t="n">
        <x:f>IF(OR(B53="",E53="",F53=""),"",E53*F53)</x:f>
        <x:v>3</x:v>
      </x:c>
      <x:c r="H53" s="12" t="str">
        <x:v>Must do</x:v>
      </x:c>
      <x:c r="I53" s="12" t="str">
        <x:v>Finalstack points are not paid at eachclear; protect refill time earlier. Priority 1 reflects the electrolyte specialist role; difficulty 3 is a provisional integration estimate.</x:v>
      </x:c>
      <x:c r="J53" s="12" t="str">
        <x:v>Requires driver/human-player coordination, measured route access and compatible partner timing.</x:v>
      </x:c>
      <x:c r="K53" s="12" t="str">
        <x:v>Proposed, not tested: Final modeled occupancy 6/4/2 with no unauthorized ownclear.</x:v>
      </x:c>
      <x:c r="L53" s="12" t="str">
        <x:v>DunkTank supplied Game Update 01, p3,p10; organizer post69</x:v>
      </x:c>
      <x:c r="M53" s="12" t="str">
        <x:v>Unknown exact CAD/operating performance. Smallest test: Final modeled occupancy 6/4/2 with no unauthorized ownclear.</x:v>
      </x:c>
      <x:c r="N53" s="12" t="str">
        <x:v>Pending human review</x:v>
      </x:c>
    </x:row>
    <x:row r="54" ht="105" customHeight="1">
      <x:c r="A54" s="8" t="str">
        <x:v>Endgame</x:v>
      </x:c>
      <x:c r="B54" s="12" t="str">
        <x:v>Stage loaded near own tank</x:v>
      </x:c>
      <x:c r="C54" s="12" t="str">
        <x:v>Before final 20 s</x:v>
      </x:c>
      <x:c r="D54" s="12" t="str">
        <x:v>Reduce wasted endgame travel</x:v>
      </x:c>
      <x:c r="E54" s="12" t="n">
        <x:v>1</x:v>
      </x:c>
      <x:c r="F54" s="12" t="n">
        <x:v>3</x:v>
      </x:c>
      <x:c r="G54" s="13" t="n">
        <x:f>IF(OR(B54="",E54="",F54=""),"",E54*F54)</x:f>
        <x:v>3</x:v>
      </x:c>
      <x:c r="H54" s="12" t="str">
        <x:v>Must do</x:v>
      </x:c>
      <x:c r="I54" s="12" t="str">
        <x:v>Own tank is across field from own scoring wall; late attack nearremote side can hurt return timing. Priority 1 reflects the electrolyte specialist role; difficulty 3 is a provisional integration estimate.</x:v>
      </x:c>
      <x:c r="J54" s="12" t="str">
        <x:v>Requires driver/human-player coordination, measured route access and compatible partner timing.</x:v>
      </x:c>
      <x:c r="K54" s="12" t="str">
        <x:v>Proposed, not tested: Enter final 20 s with useful inventory and timed route toown tank.</x:v>
      </x:c>
      <x:c r="L54" s="12" t="str">
        <x:v>DunkTank supplied Game Update 01, pp5-6,12</x:v>
      </x:c>
      <x:c r="M54" s="12" t="str">
        <x:v>Unknown exact CAD/operating performance. Smallest test: Enter final 20 s with useful inventory and timed route toown tank.</x:v>
      </x:c>
      <x:c r="N54" s="12" t="str">
        <x:v>Pending human review</x:v>
      </x:c>
    </x:row>
    <x:row r="55" ht="105" customHeight="1">
      <x:c r="A55" s="8" t="str">
        <x:v>Endgame</x:v>
      </x:c>
      <x:c r="B55" s="12" t="str">
        <x:v>Add climbing mechanism</x:v>
      </x:c>
      <x:c r="C55" s="12" t="str">
        <x:v>N/A</x:v>
      </x:c>
      <x:c r="D55" s="12" t="str">
        <x:v>No climb points in supplied game</x:v>
      </x:c>
      <x:c r="E55" s="12" t="n">
        <x:v>3</x:v>
      </x:c>
      <x:c r="F55" s="12" t="n">
        <x:v>1</x:v>
      </x:c>
      <x:c r="G55" s="13" t="n">
        <x:f>IF(OR(B55="",E55="",F55=""),"",E55*F55)</x:f>
        <x:v>3</x:v>
      </x:c>
      <x:c r="H55" s="12" t="str">
        <x:v>Won’t do</x:v>
      </x:c>
      <x:c r="I55" s="12" t="str">
        <x:v>There is no scored climb task; mass and volume belong to usable electrolyte flow. Priority 3 reflects the electrolyte specialist role; difficulty 1 is a provisional integration estimate.</x:v>
      </x:c>
      <x:c r="J55" s="12" t="str">
        <x:v>Excluded from selected role; basketball scoring assigned to partners where applicable.</x:v>
      </x:c>
      <x:c r="K55" s="12" t="str">
        <x:v>Proposed, not tested: N/A no climb objective.</x:v>
      </x:c>
      <x:c r="L55" s="12" t="str">
        <x:v>DunkTank supplied Game Update 01, Complete supplied manual pp1-19</x:v>
      </x:c>
      <x:c r="M55" s="12" t="str">
        <x:v>Unknown exact CAD/operating performance. Smallest test: N/A no climb objective.</x:v>
      </x:c>
      <x:c r="N55" s="12" t="str">
        <x:v>Pending human review</x:v>
      </x:c>
    </x:row>
    <x:row r="56" ht="105" customHeight="1">
      <x:c r="A56" s="8" t="str">
        <x:v>Alignment / sensing</x:v>
      </x:c>
      <x:c r="B56" s="12" t="str">
        <x:v>Align low discharge chute</x:v>
      </x:c>
      <x:c r="C56" s="12" t="str">
        <x:v>All</x:v>
      </x:c>
      <x:c r="D56" s="12" t="str">
        <x:v>Capture balls in 120-degree opening</x:v>
      </x:c>
      <x:c r="E56" s="12" t="n">
        <x:v>1</x:v>
      </x:c>
      <x:c r="F56" s="12" t="n">
        <x:v>5</x:v>
      </x:c>
      <x:c r="G56" s="13" t="n">
        <x:f>IF(OR(B56="",E56="",F56=""),"",E56*F56)</x:f>
        <x:v>5</x:v>
      </x:c>
      <x:c r="H56" s="12" t="str">
        <x:v>Must do</x:v>
      </x:c>
      <x:c r="I56" s="12" t="str">
        <x:v>A4-ft nominal tank does not offer its full rim as legal/open entry; use measured opening and bumper offset. Priority 1 reflects the electrolyte specialist role; difficulty 5 is a provisional integration estimate.</x:v>
      </x:c>
      <x:c r="J56" s="12" t="str">
        <x:v>Requires driver/human-player coordination, measured route access and compatible partner timing.</x:v>
      </x:c>
      <x:c r="K56" s="12" t="str">
        <x:v>Proposed, not tested: &gt;=98% retained delivery over 100-ball tests at declared pose offsets.</x:v>
      </x:c>
      <x:c r="L56" s="12" t="str">
        <x:v>DunkTank supplied Game Update 01, p11; fieldCAD p1</x:v>
      </x:c>
      <x:c r="M56" s="12" t="str">
        <x:v>Unknown exact CAD/operating performance. Smallest test: &gt;=98% retained delivery over 100-ball tests at declared pose offsets.</x:v>
      </x:c>
      <x:c r="N56" s="12" t="str">
        <x:v>Pending human review</x:v>
      </x:c>
    </x:row>
    <x:row r="57" ht="105" customHeight="1">
      <x:c r="A57" s="8" t="str">
        <x:v>Alignment / sensing</x:v>
      </x:c>
      <x:c r="B57" s="12" t="str">
        <x:v>Estimate hopper count and discharge</x:v>
      </x:c>
      <x:c r="C57" s="12" t="str">
        <x:v>All</x:v>
      </x:c>
      <x:c r="D57" s="12" t="str">
        <x:v>Needed guaranteed 100</x:v>
      </x:c>
      <x:c r="E57" s="12" t="n">
        <x:v>1</x:v>
      </x:c>
      <x:c r="F57" s="12" t="n">
        <x:v>5</x:v>
      </x:c>
      <x:c r="G57" s="13" t="n">
        <x:f>IF(OR(B57="",E57="",F57=""),"",E57*F57)</x:f>
        <x:v>5</x:v>
      </x:c>
      <x:c r="H57" s="12" t="str">
        <x:v>Must do</x:v>
      </x:c>
      <x:c r="I57" s="12" t="str">
        <x:v>Beam breaks across broad streams can undercount; use validated sensing and a delivered-count margin. Priority 1 reflects the electrolyte specialist role; difficulty 5 is a provisional integration estimate.</x:v>
      </x:c>
      <x:c r="J57" s="12" t="str">
        <x:v>Requires driver/human-player coordination, measured route access and compatible partner timing.</x:v>
      </x:c>
      <x:c r="K57" s="12" t="str">
        <x:v>Proposed, not tested: No false ready 100 signal in 20 full load/unload trials.</x:v>
      </x:c>
      <x:c r="L57" s="12" t="str">
        <x:v>DunkTank supplied Game Update 01, p12 weight threshold; engineering proposal</x:v>
      </x:c>
      <x:c r="M57" s="12" t="str">
        <x:v>Unknown exact CAD/operating performance. Smallest test: No false ready 100 signal in 20 full load/unload trials.</x:v>
      </x:c>
      <x:c r="N57" s="12" t="str">
        <x:v>Pending human review</x:v>
      </x:c>
    </x:row>
    <x:row r="58" ht="105" customHeight="1">
      <x:c r="A58" s="8" t="str">
        <x:v>Alignment / sensing</x:v>
      </x:c>
      <x:c r="B58" s="12" t="str">
        <x:v>Track hoop and bonus states</x:v>
      </x:c>
      <x:c r="C58" s="12" t="str">
        <x:v>Teleop</x:v>
      </x:c>
      <x:c r="D58" s="12" t="str">
        <x:v>Coordinate timing</x:v>
      </x:c>
      <x:c r="E58" s="12" t="n">
        <x:v>1</x:v>
      </x:c>
      <x:c r="F58" s="12" t="n">
        <x:v>5</x:v>
      </x:c>
      <x:c r="G58" s="13" t="n">
        <x:f>IF(OR(B58="",E58="",F58=""),"",E58*F58)</x:f>
        <x:v>5</x:v>
      </x:c>
      <x:c r="H58" s="12" t="str">
        <x:v>Must do</x:v>
      </x:c>
      <x:c r="I58" s="12" t="str">
        <x:v>No live FMS interface is promised in this manual; driver/human confirmation must work. Priority 1 reflects the electrolyte specialist role; difficulty 5 is a provisional integration estimate.</x:v>
      </x:c>
      <x:c r="J58" s="12" t="str">
        <x:v>Requires driver/human-player coordination, measured route access and compatible partner timing.</x:v>
      </x:c>
      <x:c r="K58" s="12" t="str">
        <x:v>Proposed, not tested: State agreement before everyclear across 30 simulated decisions.</x:v>
      </x:c>
      <x:c r="L58" s="12" t="str">
        <x:v>DunkTank supplied Game Update 01, pp10-12</x:v>
      </x:c>
      <x:c r="M58" s="12" t="str">
        <x:v>Unknown exact CAD/operating performance. Smallest test: State agreement before everyclear across 30 simulated decisions.</x:v>
      </x:c>
      <x:c r="N58" s="12" t="str">
        <x:v>Pending human review</x:v>
      </x:c>
    </x:row>
    <x:row r="59" ht="105" customHeight="1">
      <x:c r="A59" s="8" t="str">
        <x:v>Alignment / sensing</x:v>
      </x:c>
      <x:c r="B59" s="12" t="str">
        <x:v>Interlock outlet on target andphase</x:v>
      </x:c>
      <x:c r="C59" s="12" t="str">
        <x:v>All</x:v>
      </x:c>
      <x:c r="D59" s="12" t="str">
        <x:v>Avoid lost inventory and mistimedclear</x:v>
      </x:c>
      <x:c r="E59" s="12" t="n">
        <x:v>1</x:v>
      </x:c>
      <x:c r="F59" s="12" t="n">
        <x:v>5</x:v>
      </x:c>
      <x:c r="G59" s="13" t="n">
        <x:f>IF(OR(B59="",E59="",F59=""),"",E59*F59)</x:f>
        <x:v>5</x:v>
      </x:c>
      <x:c r="H59" s="12" t="str">
        <x:v>Must do</x:v>
      </x:c>
      <x:c r="I59" s="12" t="str">
        <x:v>Wrong tank and wrong phase have different consequences; hold balls unless release isauthorized. Priority 1 reflects the electrolyte specialist role; difficulty 5 is a provisional integration estimate.</x:v>
      </x:c>
      <x:c r="J59" s="12" t="str">
        <x:v>Requires driver/human-player coordination, measured route access and compatible partner timing.</x:v>
      </x:c>
      <x:c r="K59" s="12" t="str">
        <x:v>Proposed, not tested: Zero uncommanded release in 50 target/clock fault cases.</x:v>
      </x:c>
      <x:c r="L59" s="12" t="str">
        <x:v>DunkTank supplied Game Update 01, pp11-12;604 readiness principle</x:v>
      </x:c>
      <x:c r="M59" s="12" t="str">
        <x:v>Unknown exact CAD/operating performance. Smallest test: Zero uncommanded release in 50 target/clock fault cases.</x:v>
      </x:c>
      <x:c r="N59" s="12" t="str">
        <x:v>Pending human review</x:v>
      </x:c>
    </x:row>
    <x:row r="60" ht="105" customHeight="1">
      <x:c r="A60" s="8" t="str">
        <x:v>Defense / support</x:v>
      </x:c>
      <x:c r="B60" s="12" t="str">
        <x:v>Avoid protected contact</x:v>
      </x:c>
      <x:c r="C60" s="12" t="str">
        <x:v>All</x:v>
      </x:c>
      <x:c r="D60" s="12" t="str">
        <x:v>10-point foul percontact</x:v>
      </x:c>
      <x:c r="E60" s="12" t="n">
        <x:v>1</x:v>
      </x:c>
      <x:c r="F60" s="12" t="n">
        <x:v>3</x:v>
      </x:c>
      <x:c r="G60" s="13" t="n">
        <x:f>IF(OR(B60="",E60="",F60=""),"",E60*F60)</x:f>
        <x:v>3</x:v>
      </x:c>
      <x:c r="H60" s="12" t="str">
        <x:v>Must do</x:v>
      </x:c>
      <x:c r="I60" s="12" t="str">
        <x:v>Own/offensive tank access does not permit hitting a protected opponent; tank-zone fully condition differs from dunk partial. Priority 1 reflects the electrolyte specialist role; difficulty 3 is a provisional integration estimate.</x:v>
      </x:c>
      <x:c r="J60" s="12" t="str">
        <x:v>Requires driver/human-player coordination, measured route access and compatible partner timing.</x:v>
      </x:c>
      <x:c r="K60" s="12" t="str">
        <x:v>Proposed, not tested: Zero planned contacts with protected opponents in route review.</x:v>
      </x:c>
      <x:c r="L60" s="12" t="str">
        <x:v>DunkTank supplied Game Update 01, G14 p17</x:v>
      </x:c>
      <x:c r="M60" s="12" t="str">
        <x:v>Unknown exact CAD/operating performance. Smallest test: Zero planned contacts with protected opponents in route review.</x:v>
      </x:c>
      <x:c r="N60" s="12" t="str">
        <x:v>Pending human review</x:v>
      </x:c>
    </x:row>
    <x:row r="61" ht="105" customHeight="1">
      <x:c r="A61" s="8" t="str">
        <x:v>Defense / support</x:v>
      </x:c>
      <x:c r="B61" s="12" t="str">
        <x:v>Timed ordinary bumper defense</x:v>
      </x:c>
      <x:c r="C61" s="12" t="str">
        <x:v>Teleop optional</x:v>
      </x:c>
      <x:c r="D61" s="12" t="str">
        <x:v>Denied scoring minusforgone supply</x:v>
      </x:c>
      <x:c r="E61" s="12" t="n">
        <x:v>2</x:v>
      </x:c>
      <x:c r="F61" s="12" t="n">
        <x:v>5</x:v>
      </x:c>
      <x:c r="G61" s="13" t="n">
        <x:f>IF(OR(B61="",E61="",F61=""),"",E61*F61)</x:f>
        <x:v>10</x:v>
      </x:c>
      <x:c r="H61" s="12" t="str">
        <x:v>Might do</x:v>
      </x:c>
      <x:c r="I61" s="12" t="str">
        <x:v>Defending can waste scarce refill time and disrupt partners; use only measured positive margin. Priority 2 reflects the electrolyte specialist role; difficulty 5 is a provisional integration estimate.</x:v>
      </x:c>
      <x:c r="J61" s="12" t="str">
        <x:v>Requires driver/human-player coordination, measured route access and compatible partner timing.</x:v>
      </x:c>
      <x:c r="K61" s="12" t="str">
        <x:v>Proposed, not tested: Matched trials compare net score margin with/without defense.</x:v>
      </x:c>
      <x:c r="L61" s="12" t="str">
        <x:v>DunkTank supplied Game Update 01, G05/G10/G11/G12</x:v>
      </x:c>
      <x:c r="M61" s="12" t="str">
        <x:v>Unknown exact CAD/operating performance. Smallest test: Matched trials compare net score margin with/without defense.</x:v>
      </x:c>
      <x:c r="N61" s="12" t="str">
        <x:v>Pending human review</x:v>
      </x:c>
    </x:row>
    <x:row r="62" ht="105" customHeight="1">
      <x:c r="A62" s="8" t="str">
        <x:v>Defense / support</x:v>
      </x:c>
      <x:c r="B62" s="12" t="str">
        <x:v>Block tank opening or chute</x:v>
      </x:c>
      <x:c r="C62" s="12" t="str">
        <x:v>All excluded</x:v>
      </x:c>
      <x:c r="D62" s="12" t="str">
        <x:v>Technical/DQ risk</x:v>
      </x:c>
      <x:c r="E62" s="12" t="n">
        <x:v>3</x:v>
      </x:c>
      <x:c r="F62" s="12" t="n">
        <x:v>1</x:v>
      </x:c>
      <x:c r="G62" s="13" t="n">
        <x:f>IF(OR(B62="",E62="",F62=""),"",E62*F62)</x:f>
        <x:v>3</x:v>
      </x:c>
      <x:c r="H62" s="12" t="str">
        <x:v>Won’t do</x:v>
      </x:c>
      <x:c r="I62" s="12" t="str">
        <x:v>G12 explicitly prohibits blocking tank access; discharge chute contact cannot become a blockade. Priority 3 reflects the electrolyte specialist role; difficulty 1 is a provisional integration estimate.</x:v>
      </x:c>
      <x:c r="J62" s="12" t="str">
        <x:v>Excluded from selected role; basketball scoring assigned to partners where applicable.</x:v>
      </x:c>
      <x:c r="K62" s="12" t="str">
        <x:v>Proposed, not tested: Zero blocking mechanism in design.</x:v>
      </x:c>
      <x:c r="L62" s="12" t="str">
        <x:v>DunkTank supplied Game Update 01, G12 p16</x:v>
      </x:c>
      <x:c r="M62" s="12" t="str">
        <x:v>Unknown exact CAD/operating performance. Smallest test: Zero blocking mechanism in design.</x:v>
      </x:c>
      <x:c r="N62" s="12" t="str">
        <x:v>Pending human review</x:v>
      </x:c>
    </x:row>
    <x:row r="63" ht="105" customHeight="1">
      <x:c r="A63" s="8" t="str">
        <x:v>Defense / support</x:v>
      </x:c>
      <x:c r="B63" s="12" t="str">
        <x:v>Respect 5-second pin maximum</x:v>
      </x:c>
      <x:c r="C63" s="12" t="str">
        <x:v>Teleop</x:v>
      </x:c>
      <x:c r="D63" s="12" t="str">
        <x:v>Avoid 20-point technical</x:v>
      </x:c>
      <x:c r="E63" s="12" t="n">
        <x:v>1</x:v>
      </x:c>
      <x:c r="F63" s="12" t="n">
        <x:v>2</x:v>
      </x:c>
      <x:c r="G63" s="13" t="n">
        <x:f>IF(OR(B63="",E63="",F63=""),"",E63*F63)</x:f>
        <x:v>2</x:v>
      </x:c>
      <x:c r="H63" s="12" t="str">
        <x:v>Must do</x:v>
      </x:c>
      <x:c r="I63" s="12" t="str">
        <x:v>Thisgame has five seconds, not Hero Heist'sthree. Priority 1 reflects the electrolyte specialist role; difficulty 2 is a provisional integration estimate.</x:v>
      </x:c>
      <x:c r="J63" s="12" t="str">
        <x:v>Requires driver/human-player coordination, measured route access and compatible partner timing.</x:v>
      </x:c>
      <x:c r="K63" s="12" t="str">
        <x:v>Proposed, not tested: Disengage byproposed 4 s in 20 scripted pins.</x:v>
      </x:c>
      <x:c r="L63" s="12" t="str">
        <x:v>DunkTank supplied Game Update 01, G11 p16</x:v>
      </x:c>
      <x:c r="M63" s="12" t="str">
        <x:v>Unknown exact CAD/operating performance. Smallest test: Disengage byproposed 4 s in 20 scripted pins.</x:v>
      </x:c>
      <x:c r="N63" s="12" t="str">
        <x:v>Pending human review</x:v>
      </x:c>
    </x:row>
    <x:row r="64" ht="105" customHeight="1">
      <x:c r="A64" s="8" t="str">
        <x:v>Defense / support</x:v>
      </x:c>
      <x:c r="B64" s="12" t="str">
        <x:v>Return basketballs afterclear</x:v>
      </x:c>
      <x:c r="C64" s="12" t="str">
        <x:v>Human support</x:v>
      </x:c>
      <x:c r="D64" s="12" t="str">
        <x:v>30-s return deadline</x:v>
      </x:c>
      <x:c r="E64" s="12" t="n">
        <x:v>1</x:v>
      </x:c>
      <x:c r="F64" s="12" t="n">
        <x:v>2</x:v>
      </x:c>
      <x:c r="G64" s="13" t="n">
        <x:f>IF(OR(B64="",E64="",F64=""),"",E64*F64)</x:f>
        <x:v>2</x:v>
      </x:c>
      <x:c r="H64" s="12" t="str">
        <x:v>Must do</x:v>
      </x:c>
      <x:c r="I64" s="12" t="str">
        <x:v>Do not withhold cleared balls tostarve an opponent; assign human-return responsibility. Priority 1 reflects the electrolyte specialist role; difficulty 2 is a provisional integration estimate.</x:v>
      </x:c>
      <x:c r="J64" s="12" t="str">
        <x:v>Requires driver/human-player coordination, measured route access and compatible partner timing.</x:v>
      </x:c>
      <x:c r="K64" s="12" t="str">
        <x:v>Proposed, not tested: Allbasketballs returned within 30 s aftereach clear.</x:v>
      </x:c>
      <x:c r="L64" s="12" t="str">
        <x:v>DunkTank supplied Game Update 01, G21 p18</x:v>
      </x:c>
      <x:c r="M64" s="12" t="str">
        <x:v>Unknown exact CAD/operating performance. Smallest test: Allbasketballs returned within 30 s aftereach clear.</x:v>
      </x:c>
      <x:c r="N64" s="12" t="str">
        <x:v>Pending human review</x:v>
      </x:c>
    </x:row>
    <x:row r="65" ht="105" customHeight="1">
      <x:c r="A65" s="8" t="str">
        <x:v>Other legal actions</x:v>
      </x:c>
      <x:c r="B65" s="12" t="str">
        <x:v>Meet robot mass/perimeter</x:v>
      </x:c>
      <x:c r="C65" s="12" t="str">
        <x:v>All</x:v>
      </x:c>
      <x:c r="D65" s="12" t="str">
        <x:v>125 lb excluding battery/bumpers;120-in perimeter</x:v>
      </x:c>
      <x:c r="E65" s="12" t="n">
        <x:v>1</x:v>
      </x:c>
      <x:c r="F65" s="12" t="n">
        <x:v>3</x:v>
      </x:c>
      <x:c r="G65" s="13" t="n">
        <x:f>IF(OR(B65="",E65="",F65=""),"",E65*F65)</x:f>
        <x:v>3</x:v>
      </x:c>
      <x:c r="H65" s="12" t="str">
        <x:v>Must do</x:v>
      </x:c>
      <x:c r="I65" s="12" t="str">
        <x:v>Start packaging below 42 in; include real wires, hardware and current requirements. Priority 1 reflects the electrolyte specialist role; difficulty 3 is a provisional integration estimate.</x:v>
      </x:c>
      <x:c r="J65" s="12" t="str">
        <x:v>Requires driver/human-player coordination, measured route access and compatible partner timing.</x:v>
      </x:c>
      <x:c r="K65" s="12" t="str">
        <x:v>Proposed, not tested: CAD mass/BOM below 125 lb with explicit missing-part allowance.</x:v>
      </x:c>
      <x:c r="L65" s="12" t="str">
        <x:v>DunkTank supplied Game Update 01, R01-R03 p18</x:v>
      </x:c>
      <x:c r="M65" s="12" t="str">
        <x:v>Unknown exact CAD/operating performance. Smallest test: CAD mass/BOM below 125 lb with explicit missing-part allowance.</x:v>
      </x:c>
      <x:c r="N65" s="12" t="str">
        <x:v>Pending human review</x:v>
      </x:c>
    </x:row>
    <x:row r="66" ht="105" customHeight="1">
      <x:c r="A66" s="8" t="str">
        <x:v>Other legal actions</x:v>
      </x:c>
      <x:c r="B66" s="12" t="str">
        <x:v>Choose legal 2024 electrical andbumper system</x:v>
      </x:c>
      <x:c r="C66" s="12" t="str">
        <x:v>All</x:v>
      </x:c>
      <x:c r="D66" s="12" t="str">
        <x:v>R06 plus 2023 orspecified 2025 bumper rules</x:v>
      </x:c>
      <x:c r="E66" s="12" t="n">
        <x:v>1</x:v>
      </x:c>
      <x:c r="F66" s="12" t="n">
        <x:v>5</x:v>
      </x:c>
      <x:c r="G66" s="13" t="n">
        <x:f>IF(OR(B66="",E66="",F66=""),"",E66*F66)</x:f>
        <x:v>5</x:v>
      </x:c>
      <x:c r="H66" s="12" t="str">
        <x:v>Must do</x:v>
      </x:c>
      <x:c r="I66" s="12" t="str">
        <x:v>2026 references do not authorize later motors/controllers; substitute 2024-legal components. Priority 1 reflects the electrolyte specialist role; difficulty 5 is a provisional integration estimate.</x:v>
      </x:c>
      <x:c r="J66" s="12" t="str">
        <x:v>Requires driver/human-player coordination, measured route access and compatible partner timing.</x:v>
      </x:c>
      <x:c r="K66" s="12" t="str">
        <x:v>Proposed, not tested: Detailed compliance target unresolved pending incorporated-rule review.</x:v>
      </x:c>
      <x:c r="L66" s="12" t="str">
        <x:v>DunkTank supplied Game Update 01, R06-R07 p18</x:v>
      </x:c>
      <x:c r="M66" s="12" t="str">
        <x:v>Unknown exact CAD/operating performance. Smallest test: Detailed compliance target unresolved pending incorporated-rule review.</x:v>
      </x:c>
      <x:c r="N66" s="12" t="str">
        <x:v>Pending human review</x:v>
      </x:c>
    </x:row>
    <x:row r="67" ht="105" customHeight="1">
      <x:c r="A67" s="8" t="str">
        <x:v>Other legal actions</x:v>
      </x:c>
      <x:c r="B67" s="12" t="str">
        <x:v>Enforce allbucket introduction deadline</x:v>
      </x:c>
      <x:c r="C67" s="12" t="str">
        <x:v>Early match</x:v>
      </x:c>
      <x:c r="D67" s="12" t="str">
        <x:v>All electrolyte entry before 60 s remains</x:v>
      </x:c>
      <x:c r="E67" s="12" t="n">
        <x:v>1</x:v>
      </x:c>
      <x:c r="F67" s="12" t="n">
        <x:v>2</x:v>
      </x:c>
      <x:c r="G67" s="13" t="n">
        <x:f>IF(OR(B67="",E67="",F67=""),"",E67*F67)</x:f>
        <x:v>2</x:v>
      </x:c>
      <x:c r="H67" s="12" t="str">
        <x:v>Must do</x:v>
      </x:c>
      <x:c r="I67" s="12" t="str">
        <x:v>No later station refill assumed; keep humans and buckets outside field. Priority 1 reflects the electrolyte specialist role; difficulty 2 is a provisional integration estimate.</x:v>
      </x:c>
      <x:c r="J67" s="12" t="str">
        <x:v>Requires driver/human-player coordination, measured route access and compatible partner timing.</x:v>
      </x:c>
      <x:c r="K67" s="12" t="str">
        <x:v>Proposed, not tested: Human checklist emptied required buckets beforecutoff everytrial.</x:v>
      </x:c>
      <x:c r="L67" s="12" t="str">
        <x:v>DunkTank supplied Game Update 01, p13,G13/G16</x:v>
      </x:c>
      <x:c r="M67" s="12" t="str">
        <x:v>Unknown exact CAD/operating performance. Smallest test: Human checklist emptied required buckets beforecutoff everytrial.</x:v>
      </x:c>
      <x:c r="N67" s="12" t="str">
        <x:v>Pending human review</x:v>
      </x:c>
    </x:row>
    <x:row r="68" ht="105" customHeight="1">
      <x:c r="A68" s="8" t="str">
        <x:v>Other legal actions</x:v>
      </x:c>
      <x:c r="B68" s="12" t="str">
        <x:v>Service hopper and discharger</x:v>
      </x:c>
      <x:c r="C68" s="12" t="str">
        <x:v>Betweenmatches</x:v>
      </x:c>
      <x:c r="D68" s="12" t="str">
        <x:v>Preserve availability</x:v>
      </x:c>
      <x:c r="E68" s="12" t="n">
        <x:v>1</x:v>
      </x:c>
      <x:c r="F68" s="12" t="n">
        <x:v>5</x:v>
      </x:c>
      <x:c r="G68" s="13" t="n">
        <x:f>IF(OR(B68="",E68="",F68=""),"",E68*F68)</x:f>
        <x:v>5</x:v>
      </x:c>
      <x:c r="H68" s="12" t="str">
        <x:v>Must do</x:v>
      </x:c>
      <x:c r="I68" s="12" t="str">
        <x:v>Panel replacement and jam access must work with loaded ball paths andprotected wiring. Priority 1 reflects the electrolyte specialist role; difficulty 5 is a provisional integration estimate.</x:v>
      </x:c>
      <x:c r="J68" s="12" t="str">
        <x:v>Requires driver/human-player coordination, measured route access and compatible partner timing.</x:v>
      </x:c>
      <x:c r="K68" s="12" t="str">
        <x:v>Proposed, not tested: Wearpart replacement &lt;=5 min withteam tools, proposed.</x:v>
      </x:c>
      <x:c r="L68" s="12" t="str">
        <x:v>DunkTank supplied Game Update 01, 604-expansion-2026-5; engineering inference</x:v>
      </x:c>
      <x:c r="M68" s="12" t="str">
        <x:v>Unknown exact CAD/operating performance. Smallest test: Wearpart replacement &lt;=5 min withteam tools, proposed.</x:v>
      </x:c>
      <x:c r="N68" s="12" t="str">
        <x:v>Pending human review</x:v>
      </x:c>
    </x:row>
    <x:row r="69" ht="105" customHeight="1">
      <x:c r="A69" s="8" t="str">
        <x:v>Other legal actions</x:v>
      </x:c>
      <x:c r="B69" s="12" t="str">
        <x:v>Balance drive and conveyor current</x:v>
      </x:c>
      <x:c r="C69" s="12" t="str">
        <x:v>All</x:v>
      </x:c>
      <x:c r="D69" s="12" t="str">
        <x:v>Preventvoltage sag andjam escalation</x:v>
      </x:c>
      <x:c r="E69" s="12" t="n">
        <x:v>1</x:v>
      </x:c>
      <x:c r="F69" s="12" t="n">
        <x:v>5</x:v>
      </x:c>
      <x:c r="G69" s="13" t="n">
        <x:f>IF(OR(B69="",E69="",F69=""),"",E69*F69)</x:f>
        <x:v>5</x:v>
      </x:c>
      <x:c r="H69" s="12" t="str">
        <x:v>Must do</x:v>
      </x:c>
      <x:c r="I69" s="12" t="str">
        <x:v>Simultaneous acceleration andconveyor starts impose peak loads; no motors selected from free-speed alone. Priority 1 reflects the electrolyte specialist role; difficulty 5 is a provisional integration estimate.</x:v>
      </x:c>
      <x:c r="J69" s="12" t="str">
        <x:v>Requires driver/human-player coordination, measured route access and compatible partner timing.</x:v>
      </x:c>
      <x:c r="K69" s="12" t="str">
        <x:v>Proposed, not tested: Target unresolved until 2024-legal motor/BOM andloaded current tests.</x:v>
      </x:c>
      <x:c r="L69" s="12" t="str">
        <x:v>DunkTank supplied Game Update 01, R06 p18</x:v>
      </x:c>
      <x:c r="M69" s="12" t="str">
        <x:v>Unknown exact CAD/operating performance. Smallest test: Target unresolved until 2024-legal motor/BOM andloaded current tests.</x:v>
      </x:c>
      <x:c r="N69" s="12" t="str">
        <x:v>Pending human review</x:v>
      </x:c>
    </x:row>
    <x:row r="70" ht="105" customHeight="1">
      <x:c r="A70" s="8" t="str">
        <x:v>Other legal actions</x:v>
      </x:c>
      <x:c r="B70" s="12" t="str">
        <x:v>Use pieces or detachedparts asprops</x:v>
      </x:c>
      <x:c r="C70" s="12" t="str">
        <x:v>All excluded</x:v>
      </x:c>
      <x:c r="D70" s="12" t="str">
        <x:v>G06/G17 DQ risk</x:v>
      </x:c>
      <x:c r="E70" s="12" t="n">
        <x:v>3</x:v>
      </x:c>
      <x:c r="F70" s="12" t="n">
        <x:v>1</x:v>
      </x:c>
      <x:c r="G70" s="13" t="n">
        <x:f>IF(OR(B70="",E70="",F70=""),"",E70*F70)</x:f>
        <x:v>3</x:v>
      </x:c>
      <x:c r="H70" s="12" t="str">
        <x:v>Won’t do</x:v>
      </x:c>
      <x:c r="I70" s="12" t="str">
        <x:v>Scoring resources are not tools to ease challenges; no intentional detachment. Priority 3 reflects the electrolyte specialist role; difficulty 1 is a provisional integration estimate.</x:v>
      </x:c>
      <x:c r="J70" s="12" t="str">
        <x:v>Excluded from selected role; basketball scoring assigned to partners where applicable.</x:v>
      </x:c>
      <x:c r="K70" s="12" t="str">
        <x:v>Proposed, not tested: Zero suchmechanisms in design review.</x:v>
      </x:c>
      <x:c r="L70" s="12" t="str">
        <x:v>DunkTank supplied Game Update 01, G06 p16,G17 p17</x:v>
      </x:c>
      <x:c r="M70" s="12" t="str">
        <x:v>Unknown exact CAD/operating performance. Smallest test: Zero suchmechanisms in design review.</x:v>
      </x:c>
      <x:c r="N70" s="12" t="str">
        <x:v>Pending human review</x:v>
      </x:c>
    </x:row>
    <x:row r="71" ht="64" customHeight="1">
      <x:c r="A71" s="8"/>
      <x:c r="B71" s="12"/>
      <x:c r="C71" s="12"/>
      <x:c r="D71" s="12"/>
      <x:c r="E71" s="12"/>
      <x:c r="F71" s="12"/>
      <x:c r="G71" s="13" t="str">
        <x:f>IF(OR(B71="",E71="",F71=""),"",E71*F71)</x:f>
      </x:c>
      <x:c r="H71" s="12"/>
      <x:c r="I71" s="12"/>
      <x:c r="J71" s="12"/>
      <x:c r="K71" s="12"/>
      <x:c r="L71" s="12"/>
      <x:c r="M71" s="12"/>
      <x:c r="N71" s="12"/>
    </x:row>
    <x:row r="72" ht="64" customHeight="1">
      <x:c r="A72" s="8"/>
      <x:c r="B72" s="12"/>
      <x:c r="C72" s="12"/>
      <x:c r="D72" s="12"/>
      <x:c r="E72" s="12"/>
      <x:c r="F72" s="12"/>
      <x:c r="G72" s="13" t="str">
        <x:f>IF(OR(B72="",E72="",F72=""),"",E72*F72)</x:f>
      </x:c>
      <x:c r="H72" s="12"/>
      <x:c r="I72" s="12"/>
      <x:c r="J72" s="12"/>
      <x:c r="K72" s="12"/>
      <x:c r="L72" s="12"/>
      <x:c r="M72" s="12"/>
      <x:c r="N72" s="12"/>
    </x:row>
    <x:row r="73" ht="64" customHeight="1">
      <x:c r="A73" s="8"/>
      <x:c r="B73" s="12"/>
      <x:c r="C73" s="12"/>
      <x:c r="D73" s="12"/>
      <x:c r="E73" s="12"/>
      <x:c r="F73" s="12"/>
      <x:c r="G73" s="13" t="str">
        <x:f>IF(OR(B73="",E73="",F73=""),"",E73*F73)</x:f>
      </x:c>
      <x:c r="H73" s="12"/>
      <x:c r="I73" s="12"/>
      <x:c r="J73" s="12"/>
      <x:c r="K73" s="12"/>
      <x:c r="L73" s="12"/>
      <x:c r="M73" s="12"/>
      <x:c r="N73" s="12"/>
    </x:row>
    <x:row r="74" ht="64" customHeight="1">
      <x:c r="A74" s="8"/>
      <x:c r="B74" s="12"/>
      <x:c r="C74" s="12"/>
      <x:c r="D74" s="12"/>
      <x:c r="E74" s="12"/>
      <x:c r="F74" s="12"/>
      <x:c r="G74" s="13" t="str">
        <x:f>IF(OR(B74="",E74="",F74=""),"",E74*F74)</x:f>
      </x:c>
      <x:c r="H74" s="12"/>
      <x:c r="I74" s="12"/>
      <x:c r="J74" s="12"/>
      <x:c r="K74" s="12"/>
      <x:c r="L74" s="12"/>
      <x:c r="M74" s="12"/>
      <x:c r="N74" s="12"/>
    </x:row>
    <x:row r="75" ht="64" customHeight="1">
      <x:c r="A75" s="8"/>
      <x:c r="B75" s="12"/>
      <x:c r="C75" s="12"/>
      <x:c r="D75" s="12"/>
      <x:c r="E75" s="12"/>
      <x:c r="F75" s="12"/>
      <x:c r="G75" s="13" t="str">
        <x:f>IF(OR(B75="",E75="",F75=""),"",E75*F75)</x:f>
      </x:c>
      <x:c r="H75" s="12"/>
      <x:c r="I75" s="12"/>
      <x:c r="J75" s="12"/>
      <x:c r="K75" s="12"/>
      <x:c r="L75" s="12"/>
      <x:c r="M75" s="12"/>
      <x:c r="N75" s="12"/>
    </x:row>
    <x:row r="76" ht="64" customHeight="1">
      <x:c r="A76" s="8"/>
      <x:c r="B76" s="12"/>
      <x:c r="C76" s="12"/>
      <x:c r="D76" s="12"/>
      <x:c r="E76" s="12"/>
      <x:c r="F76" s="12"/>
      <x:c r="G76" s="13" t="str">
        <x:f>IF(OR(B76="",E76="",F76=""),"",E76*F76)</x:f>
      </x:c>
      <x:c r="H76" s="12"/>
      <x:c r="I76" s="12"/>
      <x:c r="J76" s="12"/>
      <x:c r="K76" s="12"/>
      <x:c r="L76" s="12"/>
      <x:c r="M76" s="12"/>
      <x:c r="N76" s="12"/>
    </x:row>
    <x:row r="77" ht="64" customHeight="1">
      <x:c r="A77" s="8"/>
      <x:c r="B77" s="12"/>
      <x:c r="C77" s="12"/>
      <x:c r="D77" s="12"/>
      <x:c r="E77" s="12"/>
      <x:c r="F77" s="12"/>
      <x:c r="G77" s="13" t="str">
        <x:f>IF(OR(B77="",E77="",F77=""),"",E77*F77)</x:f>
      </x:c>
      <x:c r="H77" s="12"/>
      <x:c r="I77" s="12"/>
      <x:c r="J77" s="12"/>
      <x:c r="K77" s="12"/>
      <x:c r="L77" s="12"/>
      <x:c r="M77" s="12"/>
      <x:c r="N77" s="12"/>
    </x:row>
    <x:row r="78" ht="64" customHeight="1">
      <x:c r="A78" s="8"/>
      <x:c r="B78" s="12"/>
      <x:c r="C78" s="12"/>
      <x:c r="D78" s="12"/>
      <x:c r="E78" s="12"/>
      <x:c r="F78" s="12"/>
      <x:c r="G78" s="13" t="str">
        <x:f>IF(OR(B78="",E78="",F78=""),"",E78*F78)</x:f>
      </x:c>
      <x:c r="H78" s="12"/>
      <x:c r="I78" s="12"/>
      <x:c r="J78" s="12"/>
      <x:c r="K78" s="12"/>
      <x:c r="L78" s="12"/>
      <x:c r="M78" s="12"/>
      <x:c r="N78" s="12"/>
    </x:row>
    <x:row r="79" ht="64" customHeight="1">
      <x:c r="A79" s="8"/>
      <x:c r="B79" s="12"/>
      <x:c r="C79" s="12"/>
      <x:c r="D79" s="12"/>
      <x:c r="E79" s="12"/>
      <x:c r="F79" s="12"/>
      <x:c r="G79" s="13" t="str">
        <x:f>IF(OR(B79="",E79="",F79=""),"",E79*F79)</x:f>
      </x:c>
      <x:c r="H79" s="12"/>
      <x:c r="I79" s="12"/>
      <x:c r="J79" s="12"/>
      <x:c r="K79" s="12"/>
      <x:c r="L79" s="12"/>
      <x:c r="M79" s="12"/>
      <x:c r="N79" s="12"/>
    </x:row>
    <x:row r="80" ht="64" customHeight="1">
      <x:c r="A80" s="8"/>
      <x:c r="B80" s="12"/>
      <x:c r="C80" s="12"/>
      <x:c r="D80" s="12"/>
      <x:c r="E80" s="12"/>
      <x:c r="F80" s="12"/>
      <x:c r="G80" s="13" t="str">
        <x:f>IF(OR(B80="",E80="",F80=""),"",E80*F80)</x:f>
      </x:c>
      <x:c r="H80" s="12"/>
      <x:c r="I80" s="12"/>
      <x:c r="J80" s="12"/>
      <x:c r="K80" s="12"/>
      <x:c r="L80" s="12"/>
      <x:c r="M80" s="12"/>
      <x:c r="N80" s="12"/>
    </x:row>
    <x:row r="81" ht="64" customHeight="1">
      <x:c r="A81" s="8"/>
      <x:c r="B81" s="12"/>
      <x:c r="C81" s="12"/>
      <x:c r="D81" s="12"/>
      <x:c r="E81" s="12"/>
      <x:c r="F81" s="12"/>
      <x:c r="G81" s="13" t="str">
        <x:f>IF(OR(B81="",E81="",F81=""),"",E81*F81)</x:f>
      </x:c>
      <x:c r="H81" s="12"/>
      <x:c r="I81" s="12"/>
      <x:c r="J81" s="12"/>
      <x:c r="K81" s="12"/>
      <x:c r="L81" s="12"/>
      <x:c r="M81" s="12"/>
      <x:c r="N81" s="12"/>
    </x:row>
    <x:row r="82" ht="64" customHeight="1">
      <x:c r="A82" s="8"/>
      <x:c r="B82" s="12"/>
      <x:c r="C82" s="12"/>
      <x:c r="D82" s="12"/>
      <x:c r="E82" s="12"/>
      <x:c r="F82" s="12"/>
      <x:c r="G82" s="13" t="str">
        <x:f>IF(OR(B82="",E82="",F82=""),"",E82*F82)</x:f>
      </x:c>
      <x:c r="H82" s="12"/>
      <x:c r="I82" s="12"/>
      <x:c r="J82" s="12"/>
      <x:c r="K82" s="12"/>
      <x:c r="L82" s="12"/>
      <x:c r="M82" s="12"/>
      <x:c r="N82" s="12"/>
    </x:row>
    <x:row r="83" ht="64" customHeight="1">
      <x:c r="A83" s="8"/>
      <x:c r="B83" s="12"/>
      <x:c r="C83" s="12"/>
      <x:c r="D83" s="12"/>
      <x:c r="E83" s="12"/>
      <x:c r="F83" s="12"/>
      <x:c r="G83" s="13" t="str">
        <x:f>IF(OR(B83="",E83="",F83=""),"",E83*F83)</x:f>
      </x:c>
      <x:c r="H83" s="12"/>
      <x:c r="I83" s="12"/>
      <x:c r="J83" s="12"/>
      <x:c r="K83" s="12"/>
      <x:c r="L83" s="12"/>
      <x:c r="M83" s="12"/>
      <x:c r="N83" s="12"/>
    </x:row>
    <x:row r="84" ht="64" customHeight="1">
      <x:c r="A84" s="8"/>
      <x:c r="B84" s="12"/>
      <x:c r="C84" s="12"/>
      <x:c r="D84" s="12"/>
      <x:c r="E84" s="12"/>
      <x:c r="F84" s="12"/>
      <x:c r="G84" s="13" t="str">
        <x:f>IF(OR(B84="",E84="",F84=""),"",E84*F84)</x:f>
      </x:c>
      <x:c r="H84" s="12"/>
      <x:c r="I84" s="12"/>
      <x:c r="J84" s="12"/>
      <x:c r="K84" s="12"/>
      <x:c r="L84" s="12"/>
      <x:c r="M84" s="12"/>
      <x:c r="N84" s="12"/>
    </x:row>
    <x:row r="85" ht="64" customHeight="1">
      <x:c r="A85" s="8"/>
      <x:c r="B85" s="12"/>
      <x:c r="C85" s="12"/>
      <x:c r="D85" s="12"/>
      <x:c r="E85" s="12"/>
      <x:c r="F85" s="12"/>
      <x:c r="G85" s="13" t="str">
        <x:f>IF(OR(B85="",E85="",F85=""),"",E85*F85)</x:f>
      </x:c>
      <x:c r="H85" s="12"/>
      <x:c r="I85" s="12"/>
      <x:c r="J85" s="12"/>
      <x:c r="K85" s="12"/>
      <x:c r="L85" s="12"/>
      <x:c r="M85" s="12"/>
      <x:c r="N85" s="12"/>
    </x:row>
    <x:row r="86" ht="64" customHeight="1">
      <x:c r="A86" s="8"/>
      <x:c r="B86" s="12"/>
      <x:c r="C86" s="12"/>
      <x:c r="D86" s="12"/>
      <x:c r="E86" s="12"/>
      <x:c r="F86" s="12"/>
      <x:c r="G86" s="13" t="str">
        <x:f>IF(OR(B86="",E86="",F86=""),"",E86*F86)</x:f>
      </x:c>
      <x:c r="H86" s="12"/>
      <x:c r="I86" s="12"/>
      <x:c r="J86" s="12"/>
      <x:c r="K86" s="12"/>
      <x:c r="L86" s="12"/>
      <x:c r="M86" s="12"/>
      <x:c r="N86" s="12"/>
    </x:row>
    <x:row r="87" ht="64" customHeight="1">
      <x:c r="A87" s="8"/>
      <x:c r="B87" s="12"/>
      <x:c r="C87" s="12"/>
      <x:c r="D87" s="12"/>
      <x:c r="E87" s="12"/>
      <x:c r="F87" s="12"/>
      <x:c r="G87" s="13" t="str">
        <x:f>IF(OR(B87="",E87="",F87=""),"",E87*F87)</x:f>
      </x:c>
      <x:c r="H87" s="12"/>
      <x:c r="I87" s="12"/>
      <x:c r="J87" s="12"/>
      <x:c r="K87" s="12"/>
      <x:c r="L87" s="12"/>
      <x:c r="M87" s="12"/>
      <x:c r="N87" s="12"/>
    </x:row>
    <x:row r="88" ht="64" customHeight="1">
      <x:c r="A88" s="8"/>
      <x:c r="B88" s="12"/>
      <x:c r="C88" s="12"/>
      <x:c r="D88" s="12"/>
      <x:c r="E88" s="12"/>
      <x:c r="F88" s="12"/>
      <x:c r="G88" s="13" t="str">
        <x:f>IF(OR(B88="",E88="",F88=""),"",E88*F88)</x:f>
      </x:c>
      <x:c r="H88" s="12"/>
      <x:c r="I88" s="12"/>
      <x:c r="J88" s="12"/>
      <x:c r="K88" s="12"/>
      <x:c r="L88" s="12"/>
      <x:c r="M88" s="12"/>
      <x:c r="N88" s="12"/>
    </x:row>
    <x:row r="89" ht="64" customHeight="1">
      <x:c r="A89" s="8"/>
      <x:c r="B89" s="12"/>
      <x:c r="C89" s="12"/>
      <x:c r="D89" s="12"/>
      <x:c r="E89" s="12"/>
      <x:c r="F89" s="12"/>
      <x:c r="G89" s="13" t="str">
        <x:f>IF(OR(B89="",E89="",F89=""),"",E89*F89)</x:f>
      </x:c>
      <x:c r="H89" s="12"/>
      <x:c r="I89" s="12"/>
      <x:c r="J89" s="12"/>
      <x:c r="K89" s="12"/>
      <x:c r="L89" s="12"/>
      <x:c r="M89" s="12"/>
      <x:c r="N89" s="12"/>
    </x:row>
    <x:row r="90" ht="64" customHeight="1">
      <x:c r="A90" s="8"/>
      <x:c r="B90" s="12"/>
      <x:c r="C90" s="12"/>
      <x:c r="D90" s="12"/>
      <x:c r="E90" s="12"/>
      <x:c r="F90" s="12"/>
      <x:c r="G90" s="13" t="str">
        <x:f>IF(OR(B90="",E90="",F90=""),"",E90*F90)</x:f>
      </x:c>
      <x:c r="H90" s="12"/>
      <x:c r="I90" s="12"/>
      <x:c r="J90" s="12"/>
      <x:c r="K90" s="12"/>
      <x:c r="L90" s="12"/>
      <x:c r="M90" s="12"/>
      <x:c r="N90" s="12"/>
    </x:row>
    <x:row r="91" ht="64" customHeight="1">
      <x:c r="A91" s="8"/>
      <x:c r="B91" s="12"/>
      <x:c r="C91" s="12"/>
      <x:c r="D91" s="12"/>
      <x:c r="E91" s="12"/>
      <x:c r="F91" s="12"/>
      <x:c r="G91" s="13" t="str">
        <x:f>IF(OR(B91="",E91="",F91=""),"",E91*F91)</x:f>
      </x:c>
      <x:c r="H91" s="12"/>
      <x:c r="I91" s="12"/>
      <x:c r="J91" s="12"/>
      <x:c r="K91" s="12"/>
      <x:c r="L91" s="12"/>
      <x:c r="M91" s="12"/>
      <x:c r="N91" s="12"/>
    </x:row>
    <x:row r="92" ht="64" customHeight="1">
      <x:c r="A92" s="8"/>
      <x:c r="B92" s="12"/>
      <x:c r="C92" s="12"/>
      <x:c r="D92" s="12"/>
      <x:c r="E92" s="12"/>
      <x:c r="F92" s="12"/>
      <x:c r="G92" s="13" t="str">
        <x:f>IF(OR(B92="",E92="",F92=""),"",E92*F92)</x:f>
      </x:c>
      <x:c r="H92" s="12"/>
      <x:c r="I92" s="12"/>
      <x:c r="J92" s="12"/>
      <x:c r="K92" s="12"/>
      <x:c r="L92" s="12"/>
      <x:c r="M92" s="12"/>
      <x:c r="N92" s="1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42" customHeight="1">
      <x:c r="A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B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C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D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E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F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G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H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I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J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K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L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M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  <x:c r="N94" s="15" t="str">
        <x:v>All task targets are proposed. 604 note IDs resolve in supplied corpus agent/robot_packets/2026-604.json. Official thread post numbers are exact source locators. Detailed selected architecture and evidence boundaries are in DunkTank_Design_Recommendation_2026-10-26.md.</x:v>
      </x:c>
    </x:row>
    <x:row r="97" ht="65" customHeight="1">
      <x:c r="A97" s="22" t="str">
        <x:v>Calculation</x:v>
      </x:c>
      <x:c r="B97" s="22" t="str">
        <x:v>Input1</x:v>
      </x:c>
      <x:c r="C97" s="22" t="str">
        <x:v>Input2</x:v>
      </x:c>
      <x:c r="D97" s="22" t="str">
        <x:v>Input3</x:v>
      </x:c>
      <x:c r="E97" s="22" t="str">
        <x:v>Result</x:v>
      </x:c>
      <x:c r="F97" s="22" t="str">
        <x:v>Units/conditions</x:v>
      </x:c>
    </x:row>
    <x:row r="98" ht="65" customHeight="1">
      <x:c r="A98" s="23" t="str">
        <x:v>Normal full stack set</x:v>
      </x:c>
      <x:c r="B98" s="23" t="n">
        <x:f>6*2</x:f>
        <x:v>12</x:v>
      </x:c>
      <x:c r="C98" s="23" t="n">
        <x:f>4*5</x:f>
        <x:v>20</x:v>
      </x:c>
      <x:c r="D98" s="23" t="n">
        <x:f>2*8</x:f>
        <x:v>16</x:v>
      </x:c>
      <x:c r="E98" s="24" t="n">
        <x:f>SUM(B98:D98)</x:f>
        <x:v>48</x:v>
      </x:c>
      <x:c r="F98" s="23" t="str">
        <x:v>Basketball points; assumes all12scored</x:v>
      </x:c>
    </x:row>
    <x:row r="99" ht="65" customHeight="1">
      <x:c r="A99" s="23" t="str">
        <x:v>All finalfull stack bonuses</x:v>
      </x:c>
      <x:c r="B99" s="23" t="n">
        <x:v>3</x:v>
      </x:c>
      <x:c r="C99" s="23" t="n">
        <x:v>20</x:v>
      </x:c>
      <x:c r="D99" s="23"/>
      <x:c r="E99" s="24" t="n">
        <x:f>B99*C99</x:f>
        <x:v>60</x:v>
      </x:c>
      <x:c r="F99" s="23" t="str">
        <x:v>Points, evaluated only atmatch end</x:v>
      </x:c>
    </x:row>
    <x:row r="100" ht="65" customHeight="1">
      <x:c r="A100" s="23" t="str">
        <x:v>Auto electrolytepreload</x:v>
      </x:c>
      <x:c r="B100" s="23" t="n">
        <x:v>50</x:v>
      </x:c>
      <x:c r="C100" s="23" t="n">
        <x:v>0.5</x:v>
      </x:c>
      <x:c r="D100" s="23" t="n">
        <x:v>6</x:v>
      </x:c>
      <x:c r="E100" s="24" t="n">
        <x:f>B100*C100+D100</x:f>
        <x:v>31</x:v>
      </x:c>
      <x:c r="F100" s="23" t="str">
        <x:v>Points includingone exit</x:v>
      </x:c>
    </x:row>
    <x:row r="101" ht="65" customHeight="1">
      <x:c r="A101" s="23" t="str">
        <x:v>Endgame100 electrolytes</x:v>
      </x:c>
      <x:c r="B101" s="23" t="n">
        <x:v>100</x:v>
      </x:c>
      <x:c r="C101" s="23" t="n">
        <x:v>0.3333333333333333</x:v>
      </x:c>
      <x:c r="D101" s="23"/>
      <x:c r="E101" s="24" t="n">
        <x:f>B101*C101</x:f>
        <x:v>33.33333333333333</x:v>
      </x:c>
      <x:c r="F101" s="23" t="str">
        <x:v>Points, successful own tank delivery</x:v>
      </x:c>
    </x:row>
    <x:row r="102" ht="65" customHeight="1">
      <x:c r="A102" s="23" t="str">
        <x:v>100-ball hopper packing</x:v>
      </x:c>
      <x:c r="B102" s="25" t="n">
        <x:v>100</x:v>
      </x:c>
      <x:c r="C102" s="25" t="n">
        <x:v>5</x:v>
      </x:c>
      <x:c r="D102" s="25" t="n">
        <x:v>0.6</x:v>
      </x:c>
      <x:c r="E102" s="24" t="n">
        <x:f>B102*(4/3)*PI()*(C102/2)^3/D102/1728</x:f>
        <x:v>6.3126781394470814</x:v>
      </x:c>
      <x:c r="F102" s="23" t="str">
        <x:v>ft^3 atassumed60% packing, nohardware</x:v>
      </x:c>
    </x:row>
    <x:row r="103" ht="65" customHeight="1">
      <x:c r="A103" s="23" t="str">
        <x:v>Approx tankempty time</x:v>
      </x:c>
      <x:c r="B103" s="23" t="n">
        <x:v>100</x:v>
      </x:c>
      <x:c r="C103" s="23" t="n">
        <x:v>10</x:v>
      </x:c>
      <x:c r="D103" s="23"/>
      <x:c r="E103" s="24" t="n">
        <x:f>B103/C103</x:f>
        <x:v>10</x:v>
      </x:c>
      <x:c r="F103" s="23" t="str">
        <x:v>seconds, organizer~10balls/s</x:v>
      </x:c>
    </x:row>
  </x:sheetData>
  <x:mergeCells>
    <x:mergeCell ref="A1:H1"/>
    <x:mergeCell ref="A2:B2"/>
    <x:mergeCell ref="C2:H2"/>
    <x:mergeCell ref="A3:B3"/>
    <x:mergeCell ref="C3:H3"/>
    <x:mergeCell ref="A4:B4"/>
    <x:mergeCell ref="C4:H4"/>
    <x:mergeCell ref="A5:B5"/>
    <x:mergeCell ref="C5:H5"/>
    <x:mergeCell ref="A6:B6"/>
    <x:mergeCell ref="C6:H6"/>
    <x:mergeCell ref="A7:B7"/>
    <x:mergeCell ref="C7:H7"/>
    <x:mergeCell ref="A8:H8"/>
    <x:mergeCell ref="A9:H9"/>
    <x:mergeCell ref="A94:N94"/>
  </x:mergeCells>
  <x:conditionalFormatting sqref="H13:H92">
    <x:cfRule type="containsText" dxfId="0" priority="1" operator="containsText" text="Must do"/>
    <x:cfRule type="containsText" dxfId="1" priority="2" operator="containsText" text="Might do"/>
    <x:cfRule type="containsText" dxfId="2" priority="3" operator="containsText" text="Won’t do"/>
    <x:cfRule type="containsText" dxfId="3" priority="4" operator="containsText" text="Needs discussion"/>
  </x:conditionalFormatting>
  <x:dataValidations count="3">
    <x:dataValidation type="list" sqref="E13:E92">
      <x:formula1>"1,2,3"</x:formula1>
    </x:dataValidation>
    <x:dataValidation type="list" sqref="F13:F92">
      <x:formula1>"1,2,3,5,8,13,21"</x:formula1>
    </x:dataValidation>
    <x:dataValidation type="list" sqref="H13:H92">
      <x:formula1>"Must do,Might do,Won’t do,Needs 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868bb643354708"/>
  </x:tableParts>
</x:worksheet>
</file>